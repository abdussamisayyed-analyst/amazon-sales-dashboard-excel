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Excel Assignment&amp; practice\"/>
    </mc:Choice>
  </mc:AlternateContent>
  <xr:revisionPtr revIDLastSave="0" documentId="13_ncr:1_{8A4247C3-AE49-41B2-8A4F-1B68B4C82C07}" xr6:coauthVersionLast="47" xr6:coauthVersionMax="47" xr10:uidLastSave="{00000000-0000-0000-0000-000000000000}"/>
  <bookViews>
    <workbookView xWindow="-110" yWindow="-110" windowWidth="19420" windowHeight="11020" activeTab="2" xr2:uid="{FC56A3F9-E792-400D-A941-81FCF0F44C11}"/>
  </bookViews>
  <sheets>
    <sheet name="Sheet3" sheetId="4" r:id="rId1"/>
    <sheet name="KPI" sheetId="5" r:id="rId2"/>
    <sheet name="Dashboard" sheetId="6" r:id="rId3"/>
    <sheet name="Amazon Sales data" sheetId="1" r:id="rId4"/>
  </sheets>
  <definedNames>
    <definedName name="Slicer_Country">#N/A</definedName>
    <definedName name="Slicer_Delivery_Status">#N/A</definedName>
    <definedName name="Slicer_Months__Order_Date">#N/A</definedName>
    <definedName name="Slicer_Sales_Channel">#N/A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5" l="1"/>
  <c r="B8" i="5"/>
  <c r="B2" i="5"/>
  <c r="B4" i="5"/>
  <c r="B6" i="5"/>
</calcChain>
</file>

<file path=xl/sharedStrings.xml><?xml version="1.0" encoding="utf-8"?>
<sst xmlns="http://schemas.openxmlformats.org/spreadsheetml/2006/main" count="1017" uniqueCount="160">
  <si>
    <t>Region</t>
  </si>
  <si>
    <t>Country</t>
  </si>
  <si>
    <t>Item Type</t>
  </si>
  <si>
    <t>Sales Channel</t>
  </si>
  <si>
    <t>Order Priority</t>
  </si>
  <si>
    <t>Order Date</t>
  </si>
  <si>
    <t>Order ID</t>
  </si>
  <si>
    <t>Ship Date</t>
  </si>
  <si>
    <t>Units Sold</t>
  </si>
  <si>
    <t>Unit Price</t>
  </si>
  <si>
    <t>Unit Cost</t>
  </si>
  <si>
    <t>Total Revenue</t>
  </si>
  <si>
    <t>Total Cost</t>
  </si>
  <si>
    <t>Total Profit</t>
  </si>
  <si>
    <t>Year</t>
  </si>
  <si>
    <t>Month</t>
  </si>
  <si>
    <t>Profit Margin</t>
  </si>
  <si>
    <t>Profit Category</t>
  </si>
  <si>
    <t>Delivery Days</t>
  </si>
  <si>
    <t>Delivery Status</t>
  </si>
  <si>
    <t>Australia and Oceania</t>
  </si>
  <si>
    <t>Tuvalu</t>
  </si>
  <si>
    <t>Baby Food</t>
  </si>
  <si>
    <t>Offline</t>
  </si>
  <si>
    <t>H</t>
  </si>
  <si>
    <t>Jun</t>
  </si>
  <si>
    <t>High</t>
  </si>
  <si>
    <t>Late</t>
  </si>
  <si>
    <t>Central America and the Caribbean</t>
  </si>
  <si>
    <t>Grenada</t>
  </si>
  <si>
    <t>Cereal</t>
  </si>
  <si>
    <t>Online</t>
  </si>
  <si>
    <t>C</t>
  </si>
  <si>
    <t>Sep</t>
  </si>
  <si>
    <t>Europe</t>
  </si>
  <si>
    <t>Russia</t>
  </si>
  <si>
    <t>Office Supplies</t>
  </si>
  <si>
    <t>L</t>
  </si>
  <si>
    <t>May</t>
  </si>
  <si>
    <t>Fast</t>
  </si>
  <si>
    <t>Sub-Saharan Africa</t>
  </si>
  <si>
    <t>Sao Tome and Principe</t>
  </si>
  <si>
    <t>Fruits</t>
  </si>
  <si>
    <t>Jul</t>
  </si>
  <si>
    <t>Low</t>
  </si>
  <si>
    <t>Medium</t>
  </si>
  <si>
    <t>Rwanda</t>
  </si>
  <si>
    <t>Feb</t>
  </si>
  <si>
    <t>Solomon Islands</t>
  </si>
  <si>
    <t>Angola</t>
  </si>
  <si>
    <t>Household</t>
  </si>
  <si>
    <t>M</t>
  </si>
  <si>
    <t>Apr</t>
  </si>
  <si>
    <t>Burkina Faso</t>
  </si>
  <si>
    <t>Vegetables</t>
  </si>
  <si>
    <t>Republic of the Congo</t>
  </si>
  <si>
    <t>Personal Care</t>
  </si>
  <si>
    <t>Aug</t>
  </si>
  <si>
    <t>Senegal</t>
  </si>
  <si>
    <t>Asia</t>
  </si>
  <si>
    <t>Kyrgyzstan</t>
  </si>
  <si>
    <t>Cape Verde</t>
  </si>
  <si>
    <t>Clothes</t>
  </si>
  <si>
    <t>Bangladesh</t>
  </si>
  <si>
    <t>Mar</t>
  </si>
  <si>
    <t>Honduras</t>
  </si>
  <si>
    <t>Mongolia</t>
  </si>
  <si>
    <t>Bulgaria</t>
  </si>
  <si>
    <t>Sri Lanka</t>
  </si>
  <si>
    <t>Cosmetics</t>
  </si>
  <si>
    <t>Dec</t>
  </si>
  <si>
    <t>Cameroon</t>
  </si>
  <si>
    <t>Beverages</t>
  </si>
  <si>
    <t>Turkmenistan</t>
  </si>
  <si>
    <t>Jan</t>
  </si>
  <si>
    <t>East Timor</t>
  </si>
  <si>
    <t>Meat</t>
  </si>
  <si>
    <t>Norway</t>
  </si>
  <si>
    <t>Portugal</t>
  </si>
  <si>
    <t>Snacks</t>
  </si>
  <si>
    <t>New Zealand</t>
  </si>
  <si>
    <t>Oct</t>
  </si>
  <si>
    <t xml:space="preserve">Moldova </t>
  </si>
  <si>
    <t>France</t>
  </si>
  <si>
    <t>Kiribati</t>
  </si>
  <si>
    <t>Nov</t>
  </si>
  <si>
    <t>Mali</t>
  </si>
  <si>
    <t>The Gambia</t>
  </si>
  <si>
    <t>Switzerland</t>
  </si>
  <si>
    <t>South Sudan</t>
  </si>
  <si>
    <t>Australia</t>
  </si>
  <si>
    <t>Myanmar</t>
  </si>
  <si>
    <t>Djibouti</t>
  </si>
  <si>
    <t>Costa Rica</t>
  </si>
  <si>
    <t>Middle East and North Africa</t>
  </si>
  <si>
    <t>Syria</t>
  </si>
  <si>
    <t>Brunei</t>
  </si>
  <si>
    <t>Niger</t>
  </si>
  <si>
    <t>Azerbaijan</t>
  </si>
  <si>
    <t>Slovakia</t>
  </si>
  <si>
    <t>Comoros</t>
  </si>
  <si>
    <t>Iceland</t>
  </si>
  <si>
    <t>Macedonia</t>
  </si>
  <si>
    <t>Mauritania</t>
  </si>
  <si>
    <t>Albania</t>
  </si>
  <si>
    <t>Lesotho</t>
  </si>
  <si>
    <t>Saudi Arabia</t>
  </si>
  <si>
    <t>Sierra Leone</t>
  </si>
  <si>
    <t>Cote d'Ivoire</t>
  </si>
  <si>
    <t>Fiji</t>
  </si>
  <si>
    <t>Austria</t>
  </si>
  <si>
    <t>United Kingdom</t>
  </si>
  <si>
    <t>San Marino</t>
  </si>
  <si>
    <t>Libya</t>
  </si>
  <si>
    <t>Haiti</t>
  </si>
  <si>
    <t>Gabon</t>
  </si>
  <si>
    <t>Belize</t>
  </si>
  <si>
    <t>Lithuania</t>
  </si>
  <si>
    <t>Madagascar</t>
  </si>
  <si>
    <t>Democratic Republic of the Congo</t>
  </si>
  <si>
    <t>Pakistan</t>
  </si>
  <si>
    <t>North America</t>
  </si>
  <si>
    <t>Mexico</t>
  </si>
  <si>
    <t>Federated States of Micronesia</t>
  </si>
  <si>
    <t>Laos</t>
  </si>
  <si>
    <t>Monaco</t>
  </si>
  <si>
    <t xml:space="preserve">Samoa </t>
  </si>
  <si>
    <t>Spain</t>
  </si>
  <si>
    <t>Lebanon</t>
  </si>
  <si>
    <t>Iran</t>
  </si>
  <si>
    <t>Zambia</t>
  </si>
  <si>
    <t>Kenya</t>
  </si>
  <si>
    <t>Kuwait</t>
  </si>
  <si>
    <t>Slovenia</t>
  </si>
  <si>
    <t>Romania</t>
  </si>
  <si>
    <t>Nicaragua</t>
  </si>
  <si>
    <t>Malaysia</t>
  </si>
  <si>
    <t>Mozambique</t>
  </si>
  <si>
    <t>Row Labels</t>
  </si>
  <si>
    <t>Grand Total</t>
  </si>
  <si>
    <t>Sum of Total Profit</t>
  </si>
  <si>
    <t>Sum of Total Revenue</t>
  </si>
  <si>
    <t>Count of Order ID</t>
  </si>
  <si>
    <t>2010</t>
  </si>
  <si>
    <t>2011</t>
  </si>
  <si>
    <t>2012</t>
  </si>
  <si>
    <t>2013</t>
  </si>
  <si>
    <t>2014</t>
  </si>
  <si>
    <t>2015</t>
  </si>
  <si>
    <t>2016</t>
  </si>
  <si>
    <t>2017</t>
  </si>
  <si>
    <r>
      <t>Total Revenue</t>
    </r>
    <r>
      <rPr>
        <sz val="11"/>
        <color theme="1"/>
        <rFont val="Aptos Narrow"/>
        <family val="2"/>
        <scheme val="minor"/>
      </rPr>
      <t xml:space="preserve"> </t>
    </r>
  </si>
  <si>
    <r>
      <t>Total Profit</t>
    </r>
    <r>
      <rPr>
        <sz val="11"/>
        <color theme="1"/>
        <rFont val="Aptos Narrow"/>
        <family val="2"/>
        <scheme val="minor"/>
      </rPr>
      <t xml:space="preserve"> </t>
    </r>
  </si>
  <si>
    <t xml:space="preserve">Average Profit Margin </t>
  </si>
  <si>
    <t>Max Profit Order</t>
  </si>
  <si>
    <t>Average Profit per Order</t>
  </si>
  <si>
    <t>Qtr1</t>
  </si>
  <si>
    <t>Qtr2</t>
  </si>
  <si>
    <t>Qtr4</t>
  </si>
  <si>
    <t>Qtr3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</si>
</sst>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16" fillId="0" borderId="0" xfId="0" applyFont="1"/>
    <xf numFmtId="164" fontId="0" fillId="0" borderId="0" xfId="0" applyNumberFormat="1"/>
    <xf numFmtId="0" fontId="0" fillId="33" borderId="0" xfId="0" applyFill="1"/>
    <xf numFmtId="0" fontId="0" fillId="0" borderId="0" xfId="0" applyAlignment="1">
      <alignment horizontal="left" indent="1"/>
    </xf>
    <xf numFmtId="0" fontId="0" fillId="0" borderId="0" xfId="0" applyAlignment="1">
      <alignment horizontal="left" indent="2"/>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Dashboard.xlsx]Sheet3!PivotTable2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Sheet3!$G$1</c:f>
              <c:strCache>
                <c:ptCount val="1"/>
                <c:pt idx="0">
                  <c:v>Total</c:v>
                </c:pt>
              </c:strCache>
            </c:strRef>
          </c:tx>
          <c:spPr>
            <a:solidFill>
              <a:schemeClr val="accent1"/>
            </a:solidFill>
            <a:ln>
              <a:noFill/>
            </a:ln>
            <a:effectLst/>
          </c:spPr>
          <c:invertIfNegative val="0"/>
          <c:cat>
            <c:strRef>
              <c:f>Sheet3!$F$2:$F$78</c:f>
              <c:strCache>
                <c:ptCount val="76"/>
                <c:pt idx="0">
                  <c:v>Albania</c:v>
                </c:pt>
                <c:pt idx="1">
                  <c:v>Angola</c:v>
                </c:pt>
                <c:pt idx="2">
                  <c:v>Australia</c:v>
                </c:pt>
                <c:pt idx="3">
                  <c:v>Austria</c:v>
                </c:pt>
                <c:pt idx="4">
                  <c:v>Azerbaijan</c:v>
                </c:pt>
                <c:pt idx="5">
                  <c:v>Bangladesh</c:v>
                </c:pt>
                <c:pt idx="6">
                  <c:v>Belize</c:v>
                </c:pt>
                <c:pt idx="7">
                  <c:v>Brunei</c:v>
                </c:pt>
                <c:pt idx="8">
                  <c:v>Bulgaria</c:v>
                </c:pt>
                <c:pt idx="9">
                  <c:v>Burkina Faso</c:v>
                </c:pt>
                <c:pt idx="10">
                  <c:v>Cameroon</c:v>
                </c:pt>
                <c:pt idx="11">
                  <c:v>Cape Verde</c:v>
                </c:pt>
                <c:pt idx="12">
                  <c:v>Comoros</c:v>
                </c:pt>
                <c:pt idx="13">
                  <c:v>Costa Rica</c:v>
                </c:pt>
                <c:pt idx="14">
                  <c:v>Cote d'Ivoire</c:v>
                </c:pt>
                <c:pt idx="15">
                  <c:v>Democratic Republic of the Congo</c:v>
                </c:pt>
                <c:pt idx="16">
                  <c:v>Djibouti</c:v>
                </c:pt>
                <c:pt idx="17">
                  <c:v>East Timor</c:v>
                </c:pt>
                <c:pt idx="18">
                  <c:v>Federated States of Micronesia</c:v>
                </c:pt>
                <c:pt idx="19">
                  <c:v>Fiji</c:v>
                </c:pt>
                <c:pt idx="20">
                  <c:v>France</c:v>
                </c:pt>
                <c:pt idx="21">
                  <c:v>Gabon</c:v>
                </c:pt>
                <c:pt idx="22">
                  <c:v>Grenada</c:v>
                </c:pt>
                <c:pt idx="23">
                  <c:v>Haiti</c:v>
                </c:pt>
                <c:pt idx="24">
                  <c:v>Honduras</c:v>
                </c:pt>
                <c:pt idx="25">
                  <c:v>Iceland</c:v>
                </c:pt>
                <c:pt idx="26">
                  <c:v>Iran</c:v>
                </c:pt>
                <c:pt idx="27">
                  <c:v>Kenya</c:v>
                </c:pt>
                <c:pt idx="28">
                  <c:v>Kiribati</c:v>
                </c:pt>
                <c:pt idx="29">
                  <c:v>Kuwait</c:v>
                </c:pt>
                <c:pt idx="30">
                  <c:v>Kyrgyzstan</c:v>
                </c:pt>
                <c:pt idx="31">
                  <c:v>Laos</c:v>
                </c:pt>
                <c:pt idx="32">
                  <c:v>Lebanon</c:v>
                </c:pt>
                <c:pt idx="33">
                  <c:v>Lesotho</c:v>
                </c:pt>
                <c:pt idx="34">
                  <c:v>Libya</c:v>
                </c:pt>
                <c:pt idx="35">
                  <c:v>Lithuania</c:v>
                </c:pt>
                <c:pt idx="36">
                  <c:v>Macedonia</c:v>
                </c:pt>
                <c:pt idx="37">
                  <c:v>Madagascar</c:v>
                </c:pt>
                <c:pt idx="38">
                  <c:v>Malaysia</c:v>
                </c:pt>
                <c:pt idx="39">
                  <c:v>Mali</c:v>
                </c:pt>
                <c:pt idx="40">
                  <c:v>Mauritania</c:v>
                </c:pt>
                <c:pt idx="41">
                  <c:v>Mexico</c:v>
                </c:pt>
                <c:pt idx="42">
                  <c:v>Moldova </c:v>
                </c:pt>
                <c:pt idx="43">
                  <c:v>Monaco</c:v>
                </c:pt>
                <c:pt idx="44">
                  <c:v>Mongolia</c:v>
                </c:pt>
                <c:pt idx="45">
                  <c:v>Mozambique</c:v>
                </c:pt>
                <c:pt idx="46">
                  <c:v>Myanmar</c:v>
                </c:pt>
                <c:pt idx="47">
                  <c:v>New Zealand</c:v>
                </c:pt>
                <c:pt idx="48">
                  <c:v>Nicaragua</c:v>
                </c:pt>
                <c:pt idx="49">
                  <c:v>Niger</c:v>
                </c:pt>
                <c:pt idx="50">
                  <c:v>Norway</c:v>
                </c:pt>
                <c:pt idx="51">
                  <c:v>Pakistan</c:v>
                </c:pt>
                <c:pt idx="52">
                  <c:v>Portugal</c:v>
                </c:pt>
                <c:pt idx="53">
                  <c:v>Republic of the Congo</c:v>
                </c:pt>
                <c:pt idx="54">
                  <c:v>Romania</c:v>
                </c:pt>
                <c:pt idx="55">
                  <c:v>Russia</c:v>
                </c:pt>
                <c:pt idx="56">
                  <c:v>Rwanda</c:v>
                </c:pt>
                <c:pt idx="57">
                  <c:v>Samoa </c:v>
                </c:pt>
                <c:pt idx="58">
                  <c:v>San Marino</c:v>
                </c:pt>
                <c:pt idx="59">
                  <c:v>Sao Tome and Principe</c:v>
                </c:pt>
                <c:pt idx="60">
                  <c:v>Saudi Arabia</c:v>
                </c:pt>
                <c:pt idx="61">
                  <c:v>Senegal</c:v>
                </c:pt>
                <c:pt idx="62">
                  <c:v>Sierra Leone</c:v>
                </c:pt>
                <c:pt idx="63">
                  <c:v>Slovakia</c:v>
                </c:pt>
                <c:pt idx="64">
                  <c:v>Slovenia</c:v>
                </c:pt>
                <c:pt idx="65">
                  <c:v>Solomon Islands</c:v>
                </c:pt>
                <c:pt idx="66">
                  <c:v>South Sudan</c:v>
                </c:pt>
                <c:pt idx="67">
                  <c:v>Spain</c:v>
                </c:pt>
                <c:pt idx="68">
                  <c:v>Sri Lanka</c:v>
                </c:pt>
                <c:pt idx="69">
                  <c:v>Switzerland</c:v>
                </c:pt>
                <c:pt idx="70">
                  <c:v>Syria</c:v>
                </c:pt>
                <c:pt idx="71">
                  <c:v>The Gambia</c:v>
                </c:pt>
                <c:pt idx="72">
                  <c:v>Turkmenistan</c:v>
                </c:pt>
                <c:pt idx="73">
                  <c:v>Tuvalu</c:v>
                </c:pt>
                <c:pt idx="74">
                  <c:v>United Kingdom</c:v>
                </c:pt>
                <c:pt idx="75">
                  <c:v>Zambia</c:v>
                </c:pt>
              </c:strCache>
            </c:strRef>
          </c:cat>
          <c:val>
            <c:numRef>
              <c:f>Sheet3!$G$2:$G$78</c:f>
              <c:numCache>
                <c:formatCode>General</c:formatCode>
                <c:ptCount val="76"/>
                <c:pt idx="0">
                  <c:v>166635.35999999999</c:v>
                </c:pt>
                <c:pt idx="1">
                  <c:v>693911.51</c:v>
                </c:pt>
                <c:pt idx="2">
                  <c:v>576605.12</c:v>
                </c:pt>
                <c:pt idx="3">
                  <c:v>495007.89</c:v>
                </c:pt>
                <c:pt idx="4">
                  <c:v>1512926.83</c:v>
                </c:pt>
                <c:pt idx="5">
                  <c:v>606834.72</c:v>
                </c:pt>
                <c:pt idx="6">
                  <c:v>403773.12</c:v>
                </c:pt>
                <c:pt idx="7">
                  <c:v>846885</c:v>
                </c:pt>
                <c:pt idx="8">
                  <c:v>626223.87</c:v>
                </c:pt>
                <c:pt idx="9">
                  <c:v>510216.66</c:v>
                </c:pt>
                <c:pt idx="10">
                  <c:v>781681.3</c:v>
                </c:pt>
                <c:pt idx="11">
                  <c:v>306097.91999999998</c:v>
                </c:pt>
                <c:pt idx="12">
                  <c:v>85223.58</c:v>
                </c:pt>
                <c:pt idx="13">
                  <c:v>160609.54</c:v>
                </c:pt>
                <c:pt idx="14">
                  <c:v>255718.08</c:v>
                </c:pt>
                <c:pt idx="15">
                  <c:v>89904.06</c:v>
                </c:pt>
                <c:pt idx="16">
                  <c:v>2425317.87</c:v>
                </c:pt>
                <c:pt idx="17">
                  <c:v>337937.6</c:v>
                </c:pt>
                <c:pt idx="18">
                  <c:v>146875.14000000001</c:v>
                </c:pt>
                <c:pt idx="19">
                  <c:v>727423.2</c:v>
                </c:pt>
                <c:pt idx="20">
                  <c:v>315574.05</c:v>
                </c:pt>
                <c:pt idx="21">
                  <c:v>216919.36</c:v>
                </c:pt>
                <c:pt idx="22">
                  <c:v>248406.36</c:v>
                </c:pt>
                <c:pt idx="23">
                  <c:v>296448.34999999998</c:v>
                </c:pt>
                <c:pt idx="24">
                  <c:v>1609947.52</c:v>
                </c:pt>
                <c:pt idx="25">
                  <c:v>1541705.29</c:v>
                </c:pt>
                <c:pt idx="26">
                  <c:v>1128242.43</c:v>
                </c:pt>
                <c:pt idx="27">
                  <c:v>407630.41</c:v>
                </c:pt>
                <c:pt idx="28">
                  <c:v>13009.18</c:v>
                </c:pt>
                <c:pt idx="29">
                  <c:v>1258.02</c:v>
                </c:pt>
                <c:pt idx="30">
                  <c:v>7828.12</c:v>
                </c:pt>
                <c:pt idx="31">
                  <c:v>235601.16</c:v>
                </c:pt>
                <c:pt idx="32">
                  <c:v>579000.96</c:v>
                </c:pt>
                <c:pt idx="33">
                  <c:v>23150.46</c:v>
                </c:pt>
                <c:pt idx="34">
                  <c:v>450780.97</c:v>
                </c:pt>
                <c:pt idx="35">
                  <c:v>1046233.75</c:v>
                </c:pt>
                <c:pt idx="36">
                  <c:v>575916.48</c:v>
                </c:pt>
                <c:pt idx="37">
                  <c:v>539196.48</c:v>
                </c:pt>
                <c:pt idx="38">
                  <c:v>15103.47</c:v>
                </c:pt>
                <c:pt idx="39">
                  <c:v>79245.740000000005</c:v>
                </c:pt>
                <c:pt idx="40">
                  <c:v>159832.5</c:v>
                </c:pt>
                <c:pt idx="41">
                  <c:v>1457942.76</c:v>
                </c:pt>
                <c:pt idx="42">
                  <c:v>127054.2</c:v>
                </c:pt>
                <c:pt idx="43">
                  <c:v>825738.04</c:v>
                </c:pt>
                <c:pt idx="44">
                  <c:v>122819.06</c:v>
                </c:pt>
                <c:pt idx="45">
                  <c:v>889472.91</c:v>
                </c:pt>
                <c:pt idx="46">
                  <c:v>1802771.7</c:v>
                </c:pt>
                <c:pt idx="47">
                  <c:v>5270.67</c:v>
                </c:pt>
                <c:pt idx="48">
                  <c:v>127722.96</c:v>
                </c:pt>
                <c:pt idx="49">
                  <c:v>75555.899999999994</c:v>
                </c:pt>
                <c:pt idx="50">
                  <c:v>794398.84</c:v>
                </c:pt>
                <c:pt idx="51">
                  <c:v>1719922.04</c:v>
                </c:pt>
                <c:pt idx="52">
                  <c:v>122029.78</c:v>
                </c:pt>
                <c:pt idx="53">
                  <c:v>152114.20000000001</c:v>
                </c:pt>
                <c:pt idx="54">
                  <c:v>1375311.7</c:v>
                </c:pt>
                <c:pt idx="55">
                  <c:v>224598.75</c:v>
                </c:pt>
                <c:pt idx="56">
                  <c:v>1417493.49</c:v>
                </c:pt>
                <c:pt idx="57">
                  <c:v>1678540.98</c:v>
                </c:pt>
                <c:pt idx="58">
                  <c:v>455335</c:v>
                </c:pt>
                <c:pt idx="59">
                  <c:v>176193.13</c:v>
                </c:pt>
                <c:pt idx="60">
                  <c:v>359941.17</c:v>
                </c:pt>
                <c:pt idx="61">
                  <c:v>584073.87</c:v>
                </c:pt>
                <c:pt idx="62">
                  <c:v>649879.30000000005</c:v>
                </c:pt>
                <c:pt idx="63">
                  <c:v>10795.23</c:v>
                </c:pt>
                <c:pt idx="64">
                  <c:v>72975.600000000006</c:v>
                </c:pt>
                <c:pt idx="65">
                  <c:v>285087.64</c:v>
                </c:pt>
                <c:pt idx="66">
                  <c:v>53252.5</c:v>
                </c:pt>
                <c:pt idx="67">
                  <c:v>747939.49</c:v>
                </c:pt>
                <c:pt idx="68">
                  <c:v>1208744.24</c:v>
                </c:pt>
                <c:pt idx="69">
                  <c:v>1512729.45</c:v>
                </c:pt>
                <c:pt idx="70">
                  <c:v>9119.44</c:v>
                </c:pt>
                <c:pt idx="71">
                  <c:v>1385883.27</c:v>
                </c:pt>
                <c:pt idx="72">
                  <c:v>1267258.3999999999</c:v>
                </c:pt>
                <c:pt idx="73">
                  <c:v>951410.5</c:v>
                </c:pt>
                <c:pt idx="74">
                  <c:v>46735.86</c:v>
                </c:pt>
                <c:pt idx="75">
                  <c:v>225246.9</c:v>
                </c:pt>
              </c:numCache>
            </c:numRef>
          </c:val>
          <c:extLst>
            <c:ext xmlns:c16="http://schemas.microsoft.com/office/drawing/2014/chart" uri="{C3380CC4-5D6E-409C-BE32-E72D297353CC}">
              <c16:uniqueId val="{00000000-C335-4AD3-B89D-22FD6BB29920}"/>
            </c:ext>
          </c:extLst>
        </c:ser>
        <c:dLbls>
          <c:showLegendKey val="0"/>
          <c:showVal val="0"/>
          <c:showCatName val="0"/>
          <c:showSerName val="0"/>
          <c:showPercent val="0"/>
          <c:showBubbleSize val="0"/>
        </c:dLbls>
        <c:gapWidth val="182"/>
        <c:axId val="1816850191"/>
        <c:axId val="1816845391"/>
      </c:barChart>
      <c:catAx>
        <c:axId val="1816850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845391"/>
        <c:crosses val="autoZero"/>
        <c:auto val="1"/>
        <c:lblAlgn val="ctr"/>
        <c:lblOffset val="100"/>
        <c:noMultiLvlLbl val="0"/>
      </c:catAx>
      <c:valAx>
        <c:axId val="18168453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850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Dashboard.xlsx]Sheet3!PivotTable5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Sheet3!$P$3</c:f>
              <c:strCache>
                <c:ptCount val="1"/>
                <c:pt idx="0">
                  <c:v>Total</c:v>
                </c:pt>
              </c:strCache>
            </c:strRef>
          </c:tx>
          <c:spPr>
            <a:ln w="28575" cap="rnd">
              <a:solidFill>
                <a:schemeClr val="accent1"/>
              </a:solidFill>
              <a:round/>
            </a:ln>
            <a:effectLst/>
          </c:spPr>
          <c:marker>
            <c:symbol val="none"/>
          </c:marker>
          <c:cat>
            <c:multiLvlStrRef>
              <c:f>Sheet3!$O$4:$O$101</c:f>
              <c:multiLvlStrCache>
                <c:ptCount val="60"/>
                <c:lvl>
                  <c:pt idx="0">
                    <c:v>Feb</c:v>
                  </c:pt>
                  <c:pt idx="1">
                    <c:v>May</c:v>
                  </c:pt>
                  <c:pt idx="2">
                    <c:v>Jun</c:v>
                  </c:pt>
                  <c:pt idx="3">
                    <c:v>Oct</c:v>
                  </c:pt>
                  <c:pt idx="4">
                    <c:v>Nov</c:v>
                  </c:pt>
                  <c:pt idx="5">
                    <c:v>Dec</c:v>
                  </c:pt>
                  <c:pt idx="6">
                    <c:v>Jan</c:v>
                  </c:pt>
                  <c:pt idx="7">
                    <c:v>Feb</c:v>
                  </c:pt>
                  <c:pt idx="8">
                    <c:v>Apr</c:v>
                  </c:pt>
                  <c:pt idx="9">
                    <c:v>May</c:v>
                  </c:pt>
                  <c:pt idx="10">
                    <c:v>Jun</c:v>
                  </c:pt>
                  <c:pt idx="11">
                    <c:v>Jul</c:v>
                  </c:pt>
                  <c:pt idx="12">
                    <c:v>Sep</c:v>
                  </c:pt>
                  <c:pt idx="13">
                    <c:v>Nov</c:v>
                  </c:pt>
                  <c:pt idx="14">
                    <c:v>Jan</c:v>
                  </c:pt>
                  <c:pt idx="15">
                    <c:v>Feb</c:v>
                  </c:pt>
                  <c:pt idx="16">
                    <c:v>Mar</c:v>
                  </c:pt>
                  <c:pt idx="17">
                    <c:v>Apr</c:v>
                  </c:pt>
                  <c:pt idx="18">
                    <c:v>May</c:v>
                  </c:pt>
                  <c:pt idx="19">
                    <c:v>Jun</c:v>
                  </c:pt>
                  <c:pt idx="20">
                    <c:v>Jul</c:v>
                  </c:pt>
                  <c:pt idx="21">
                    <c:v>Aug</c:v>
                  </c:pt>
                  <c:pt idx="22">
                    <c:v>Sep</c:v>
                  </c:pt>
                  <c:pt idx="23">
                    <c:v>Oct</c:v>
                  </c:pt>
                  <c:pt idx="24">
                    <c:v>Feb</c:v>
                  </c:pt>
                  <c:pt idx="25">
                    <c:v>Mar</c:v>
                  </c:pt>
                  <c:pt idx="26">
                    <c:v>Apr</c:v>
                  </c:pt>
                  <c:pt idx="27">
                    <c:v>Jun</c:v>
                  </c:pt>
                  <c:pt idx="28">
                    <c:v>Jul</c:v>
                  </c:pt>
                  <c:pt idx="29">
                    <c:v>Aug</c:v>
                  </c:pt>
                  <c:pt idx="30">
                    <c:v>Sep</c:v>
                  </c:pt>
                  <c:pt idx="31">
                    <c:v>Oct</c:v>
                  </c:pt>
                  <c:pt idx="32">
                    <c:v>Dec</c:v>
                  </c:pt>
                  <c:pt idx="33">
                    <c:v>Feb</c:v>
                  </c:pt>
                  <c:pt idx="34">
                    <c:v>Apr</c:v>
                  </c:pt>
                  <c:pt idx="35">
                    <c:v>May</c:v>
                  </c:pt>
                  <c:pt idx="36">
                    <c:v>Jun</c:v>
                  </c:pt>
                  <c:pt idx="37">
                    <c:v>Jul</c:v>
                  </c:pt>
                  <c:pt idx="38">
                    <c:v>Aug</c:v>
                  </c:pt>
                  <c:pt idx="39">
                    <c:v>Sep</c:v>
                  </c:pt>
                  <c:pt idx="40">
                    <c:v>Oct</c:v>
                  </c:pt>
                  <c:pt idx="41">
                    <c:v>Nov</c:v>
                  </c:pt>
                  <c:pt idx="42">
                    <c:v>Jan</c:v>
                  </c:pt>
                  <c:pt idx="43">
                    <c:v>Feb</c:v>
                  </c:pt>
                  <c:pt idx="44">
                    <c:v>Apr</c:v>
                  </c:pt>
                  <c:pt idx="45">
                    <c:v>Jul</c:v>
                  </c:pt>
                  <c:pt idx="46">
                    <c:v>Aug</c:v>
                  </c:pt>
                  <c:pt idx="47">
                    <c:v>Oct</c:v>
                  </c:pt>
                  <c:pt idx="48">
                    <c:v>Nov</c:v>
                  </c:pt>
                  <c:pt idx="49">
                    <c:v>Mar</c:v>
                  </c:pt>
                  <c:pt idx="50">
                    <c:v>May</c:v>
                  </c:pt>
                  <c:pt idx="51">
                    <c:v>Jun</c:v>
                  </c:pt>
                  <c:pt idx="52">
                    <c:v>Jul</c:v>
                  </c:pt>
                  <c:pt idx="53">
                    <c:v>Oct</c:v>
                  </c:pt>
                  <c:pt idx="54">
                    <c:v>Nov</c:v>
                  </c:pt>
                  <c:pt idx="55">
                    <c:v>Dec</c:v>
                  </c:pt>
                  <c:pt idx="56">
                    <c:v>Jan</c:v>
                  </c:pt>
                  <c:pt idx="57">
                    <c:v>Feb</c:v>
                  </c:pt>
                  <c:pt idx="58">
                    <c:v>Mar</c:v>
                  </c:pt>
                  <c:pt idx="59">
                    <c:v>May</c:v>
                  </c:pt>
                </c:lvl>
                <c:lvl>
                  <c:pt idx="0">
                    <c:v>Qtr1</c:v>
                  </c:pt>
                  <c:pt idx="1">
                    <c:v>Qtr2</c:v>
                  </c:pt>
                  <c:pt idx="3">
                    <c:v>Qtr4</c:v>
                  </c:pt>
                  <c:pt idx="6">
                    <c:v>Qtr1</c:v>
                  </c:pt>
                  <c:pt idx="8">
                    <c:v>Qtr2</c:v>
                  </c:pt>
                  <c:pt idx="11">
                    <c:v>Qtr3</c:v>
                  </c:pt>
                  <c:pt idx="13">
                    <c:v>Qtr4</c:v>
                  </c:pt>
                  <c:pt idx="14">
                    <c:v>Qtr1</c:v>
                  </c:pt>
                  <c:pt idx="17">
                    <c:v>Qtr2</c:v>
                  </c:pt>
                  <c:pt idx="20">
                    <c:v>Qtr3</c:v>
                  </c:pt>
                  <c:pt idx="23">
                    <c:v>Qtr4</c:v>
                  </c:pt>
                  <c:pt idx="24">
                    <c:v>Qtr1</c:v>
                  </c:pt>
                  <c:pt idx="26">
                    <c:v>Qtr2</c:v>
                  </c:pt>
                  <c:pt idx="28">
                    <c:v>Qtr3</c:v>
                  </c:pt>
                  <c:pt idx="31">
                    <c:v>Qtr4</c:v>
                  </c:pt>
                  <c:pt idx="33">
                    <c:v>Qtr1</c:v>
                  </c:pt>
                  <c:pt idx="34">
                    <c:v>Qtr2</c:v>
                  </c:pt>
                  <c:pt idx="37">
                    <c:v>Qtr3</c:v>
                  </c:pt>
                  <c:pt idx="40">
                    <c:v>Qtr4</c:v>
                  </c:pt>
                  <c:pt idx="42">
                    <c:v>Qtr1</c:v>
                  </c:pt>
                  <c:pt idx="44">
                    <c:v>Qtr2</c:v>
                  </c:pt>
                  <c:pt idx="45">
                    <c:v>Qtr3</c:v>
                  </c:pt>
                  <c:pt idx="47">
                    <c:v>Qtr4</c:v>
                  </c:pt>
                  <c:pt idx="49">
                    <c:v>Qtr1</c:v>
                  </c:pt>
                  <c:pt idx="50">
                    <c:v>Qtr2</c:v>
                  </c:pt>
                  <c:pt idx="52">
                    <c:v>Qtr3</c:v>
                  </c:pt>
                  <c:pt idx="53">
                    <c:v>Qtr4</c:v>
                  </c:pt>
                  <c:pt idx="56">
                    <c:v>Qtr1</c:v>
                  </c:pt>
                  <c:pt idx="59">
                    <c:v>Qtr2</c:v>
                  </c:pt>
                </c:lvl>
                <c:lvl>
                  <c:pt idx="0">
                    <c:v>2010</c:v>
                  </c:pt>
                  <c:pt idx="6">
                    <c:v>2011</c:v>
                  </c:pt>
                  <c:pt idx="14">
                    <c:v>2012</c:v>
                  </c:pt>
                  <c:pt idx="24">
                    <c:v>2013</c:v>
                  </c:pt>
                  <c:pt idx="33">
                    <c:v>2014</c:v>
                  </c:pt>
                  <c:pt idx="42">
                    <c:v>2015</c:v>
                  </c:pt>
                  <c:pt idx="49">
                    <c:v>2016</c:v>
                  </c:pt>
                  <c:pt idx="56">
                    <c:v>2017</c:v>
                  </c:pt>
                </c:lvl>
              </c:multiLvlStrCache>
            </c:multiLvlStrRef>
          </c:cat>
          <c:val>
            <c:numRef>
              <c:f>Sheet3!$P$4:$P$101</c:f>
              <c:numCache>
                <c:formatCode>General</c:formatCode>
                <c:ptCount val="60"/>
                <c:pt idx="0">
                  <c:v>3410661.1199999996</c:v>
                </c:pt>
                <c:pt idx="1">
                  <c:v>2587973.2599999998</c:v>
                </c:pt>
                <c:pt idx="2">
                  <c:v>1082418.3999999999</c:v>
                </c:pt>
                <c:pt idx="3">
                  <c:v>6064933.75</c:v>
                </c:pt>
                <c:pt idx="4">
                  <c:v>3458252</c:v>
                </c:pt>
                <c:pt idx="5">
                  <c:v>2581786.39</c:v>
                </c:pt>
                <c:pt idx="6">
                  <c:v>1042225.3500000001</c:v>
                </c:pt>
                <c:pt idx="7">
                  <c:v>387002.2</c:v>
                </c:pt>
                <c:pt idx="8">
                  <c:v>2798046.49</c:v>
                </c:pt>
                <c:pt idx="9">
                  <c:v>272410.45</c:v>
                </c:pt>
                <c:pt idx="10">
                  <c:v>19103.439999999999</c:v>
                </c:pt>
                <c:pt idx="11">
                  <c:v>97040.639999999999</c:v>
                </c:pt>
                <c:pt idx="12">
                  <c:v>574951.92000000004</c:v>
                </c:pt>
                <c:pt idx="13">
                  <c:v>5938385.580000001</c:v>
                </c:pt>
                <c:pt idx="14">
                  <c:v>1012884</c:v>
                </c:pt>
                <c:pt idx="15">
                  <c:v>6707849.4199999999</c:v>
                </c:pt>
                <c:pt idx="16">
                  <c:v>994765.42</c:v>
                </c:pt>
                <c:pt idx="17">
                  <c:v>4556012.38</c:v>
                </c:pt>
                <c:pt idx="18">
                  <c:v>3782781.82</c:v>
                </c:pt>
                <c:pt idx="19">
                  <c:v>2132075.27</c:v>
                </c:pt>
                <c:pt idx="20">
                  <c:v>4445093.92</c:v>
                </c:pt>
                <c:pt idx="21">
                  <c:v>576782.80000000005</c:v>
                </c:pt>
                <c:pt idx="22">
                  <c:v>4648152.7200000007</c:v>
                </c:pt>
                <c:pt idx="23">
                  <c:v>3042246.7699999996</c:v>
                </c:pt>
                <c:pt idx="24">
                  <c:v>3296425.02</c:v>
                </c:pt>
                <c:pt idx="25">
                  <c:v>835759.1</c:v>
                </c:pt>
                <c:pt idx="26">
                  <c:v>3262562.1</c:v>
                </c:pt>
                <c:pt idx="27">
                  <c:v>1352867.4</c:v>
                </c:pt>
                <c:pt idx="28">
                  <c:v>8545511.1999999993</c:v>
                </c:pt>
                <c:pt idx="29">
                  <c:v>89623.98</c:v>
                </c:pt>
                <c:pt idx="30">
                  <c:v>71253.210000000006</c:v>
                </c:pt>
                <c:pt idx="31">
                  <c:v>2702770.4</c:v>
                </c:pt>
                <c:pt idx="32">
                  <c:v>173676.25</c:v>
                </c:pt>
                <c:pt idx="33">
                  <c:v>1819660.25</c:v>
                </c:pt>
                <c:pt idx="34">
                  <c:v>4510578.0999999996</c:v>
                </c:pt>
                <c:pt idx="35">
                  <c:v>3060338.59</c:v>
                </c:pt>
                <c:pt idx="36">
                  <c:v>75591.66</c:v>
                </c:pt>
                <c:pt idx="37">
                  <c:v>688641.85</c:v>
                </c:pt>
                <c:pt idx="38">
                  <c:v>455479.03999999998</c:v>
                </c:pt>
                <c:pt idx="39">
                  <c:v>20404.71</c:v>
                </c:pt>
                <c:pt idx="40">
                  <c:v>1352370.65</c:v>
                </c:pt>
                <c:pt idx="41">
                  <c:v>4647149.58</c:v>
                </c:pt>
                <c:pt idx="42">
                  <c:v>5513227.5</c:v>
                </c:pt>
                <c:pt idx="43">
                  <c:v>2003911.1199999999</c:v>
                </c:pt>
                <c:pt idx="44">
                  <c:v>1059987.26</c:v>
                </c:pt>
                <c:pt idx="45">
                  <c:v>1292409.45</c:v>
                </c:pt>
                <c:pt idx="46">
                  <c:v>6279.09</c:v>
                </c:pt>
                <c:pt idx="47">
                  <c:v>1904138.04</c:v>
                </c:pt>
                <c:pt idx="48">
                  <c:v>648030.4</c:v>
                </c:pt>
                <c:pt idx="49">
                  <c:v>197883.4</c:v>
                </c:pt>
                <c:pt idx="50">
                  <c:v>414371.1</c:v>
                </c:pt>
                <c:pt idx="51">
                  <c:v>568269.6</c:v>
                </c:pt>
                <c:pt idx="52">
                  <c:v>600821.43999999994</c:v>
                </c:pt>
                <c:pt idx="53">
                  <c:v>221117</c:v>
                </c:pt>
                <c:pt idx="54">
                  <c:v>5876405.1999999993</c:v>
                </c:pt>
                <c:pt idx="55">
                  <c:v>4493999.4799999995</c:v>
                </c:pt>
                <c:pt idx="56">
                  <c:v>2914130.27</c:v>
                </c:pt>
                <c:pt idx="57">
                  <c:v>7115008.6400000006</c:v>
                </c:pt>
                <c:pt idx="58">
                  <c:v>246415.95</c:v>
                </c:pt>
                <c:pt idx="59">
                  <c:v>3097864.77</c:v>
                </c:pt>
              </c:numCache>
            </c:numRef>
          </c:val>
          <c:smooth val="0"/>
          <c:extLst>
            <c:ext xmlns:c16="http://schemas.microsoft.com/office/drawing/2014/chart" uri="{C3380CC4-5D6E-409C-BE32-E72D297353CC}">
              <c16:uniqueId val="{00000000-7D4A-4978-A278-7D79EC21751C}"/>
            </c:ext>
          </c:extLst>
        </c:ser>
        <c:dLbls>
          <c:showLegendKey val="0"/>
          <c:showVal val="0"/>
          <c:showCatName val="0"/>
          <c:showSerName val="0"/>
          <c:showPercent val="0"/>
          <c:showBubbleSize val="0"/>
        </c:dLbls>
        <c:smooth val="0"/>
        <c:axId val="1816846351"/>
        <c:axId val="1816855471"/>
      </c:lineChart>
      <c:catAx>
        <c:axId val="1816846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855471"/>
        <c:crosses val="autoZero"/>
        <c:auto val="1"/>
        <c:lblAlgn val="ctr"/>
        <c:lblOffset val="100"/>
        <c:noMultiLvlLbl val="0"/>
      </c:catAx>
      <c:valAx>
        <c:axId val="1816855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6846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Dashboard.xlsx]Sheet3!PivotTable3</c:name>
    <c:fmtId val="1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9398148148148149E-2"/>
          <c:y val="0.18153217592592594"/>
          <c:w val="0.79813271604938274"/>
          <c:h val="0.72798171296296299"/>
        </c:manualLayout>
      </c:layout>
      <c:pie3DChart>
        <c:varyColors val="1"/>
        <c:ser>
          <c:idx val="0"/>
          <c:order val="0"/>
          <c:tx>
            <c:strRef>
              <c:f>Sheet3!$J$3</c:f>
              <c:strCache>
                <c:ptCount val="1"/>
                <c:pt idx="0">
                  <c:v>Count of Order ID</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B5C2-4977-AEDA-45393E43EDD5}"/>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B5C2-4977-AEDA-45393E43EDD5}"/>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B5C2-4977-AEDA-45393E43ED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Sheet3!$I$4:$I$7</c:f>
              <c:strCache>
                <c:ptCount val="3"/>
                <c:pt idx="0">
                  <c:v>Fast</c:v>
                </c:pt>
                <c:pt idx="1">
                  <c:v>Late</c:v>
                </c:pt>
                <c:pt idx="2">
                  <c:v>Medium</c:v>
                </c:pt>
              </c:strCache>
            </c:strRef>
          </c:cat>
          <c:val>
            <c:numRef>
              <c:f>Sheet3!$J$4:$J$7</c:f>
              <c:numCache>
                <c:formatCode>General</c:formatCode>
                <c:ptCount val="3"/>
                <c:pt idx="0">
                  <c:v>26</c:v>
                </c:pt>
                <c:pt idx="1">
                  <c:v>53</c:v>
                </c:pt>
                <c:pt idx="2">
                  <c:v>21</c:v>
                </c:pt>
              </c:numCache>
            </c:numRef>
          </c:val>
          <c:extLst>
            <c:ext xmlns:c16="http://schemas.microsoft.com/office/drawing/2014/chart" uri="{C3380CC4-5D6E-409C-BE32-E72D297353CC}">
              <c16:uniqueId val="{00000006-B5C2-4977-AEDA-45393E43EDD5}"/>
            </c:ext>
          </c:extLst>
        </c:ser>
        <c:ser>
          <c:idx val="1"/>
          <c:order val="1"/>
          <c:tx>
            <c:strRef>
              <c:f>Sheet3!$K$3</c:f>
              <c:strCache>
                <c:ptCount val="1"/>
                <c:pt idx="0">
                  <c:v>Sum of Total Profit</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8-B5C2-4977-AEDA-45393E43EDD5}"/>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A-B5C2-4977-AEDA-45393E43EDD5}"/>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C-B5C2-4977-AEDA-45393E43ED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Sheet3!$I$4:$I$7</c:f>
              <c:strCache>
                <c:ptCount val="3"/>
                <c:pt idx="0">
                  <c:v>Fast</c:v>
                </c:pt>
                <c:pt idx="1">
                  <c:v>Late</c:v>
                </c:pt>
                <c:pt idx="2">
                  <c:v>Medium</c:v>
                </c:pt>
              </c:strCache>
            </c:strRef>
          </c:cat>
          <c:val>
            <c:numRef>
              <c:f>Sheet3!$K$4:$K$7</c:f>
              <c:numCache>
                <c:formatCode>General</c:formatCode>
                <c:ptCount val="3"/>
                <c:pt idx="0">
                  <c:v>11534043.59</c:v>
                </c:pt>
                <c:pt idx="1">
                  <c:v>24362911.629999999</c:v>
                </c:pt>
                <c:pt idx="2">
                  <c:v>8271243.1799999988</c:v>
                </c:pt>
              </c:numCache>
            </c:numRef>
          </c:val>
          <c:extLst>
            <c:ext xmlns:c16="http://schemas.microsoft.com/office/drawing/2014/chart" uri="{C3380CC4-5D6E-409C-BE32-E72D297353CC}">
              <c16:uniqueId val="{0000000D-B5C2-4977-AEDA-45393E43EDD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data Dashboard.xlsx]Sheet3!PivotTable1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174043118713285E-2"/>
          <c:y val="9.2667618392424253E-2"/>
          <c:w val="0.68288271263312772"/>
          <c:h val="0.7781804147735274"/>
        </c:manualLayout>
      </c:layout>
      <c:barChart>
        <c:barDir val="col"/>
        <c:grouping val="clustered"/>
        <c:varyColors val="0"/>
        <c:ser>
          <c:idx val="0"/>
          <c:order val="0"/>
          <c:tx>
            <c:strRef>
              <c:f>Sheet3!$B$3</c:f>
              <c:strCache>
                <c:ptCount val="1"/>
                <c:pt idx="0">
                  <c:v>Sum of Total Profit</c:v>
                </c:pt>
              </c:strCache>
            </c:strRef>
          </c:tx>
          <c:spPr>
            <a:solidFill>
              <a:srgbClr val="00B050"/>
            </a:solidFill>
            <a:ln>
              <a:noFill/>
            </a:ln>
            <a:effectLst/>
          </c:spPr>
          <c:invertIfNegative val="0"/>
          <c:cat>
            <c:strRef>
              <c:f>Sheet3!$A$4:$A$6</c:f>
              <c:strCache>
                <c:ptCount val="2"/>
                <c:pt idx="0">
                  <c:v>Offline</c:v>
                </c:pt>
                <c:pt idx="1">
                  <c:v>Online</c:v>
                </c:pt>
              </c:strCache>
            </c:strRef>
          </c:cat>
          <c:val>
            <c:numRef>
              <c:f>Sheet3!$B$4:$B$6</c:f>
              <c:numCache>
                <c:formatCode>General</c:formatCode>
                <c:ptCount val="2"/>
                <c:pt idx="0">
                  <c:v>24920726.669999991</c:v>
                </c:pt>
                <c:pt idx="1">
                  <c:v>19247471.73</c:v>
                </c:pt>
              </c:numCache>
            </c:numRef>
          </c:val>
          <c:extLst>
            <c:ext xmlns:c16="http://schemas.microsoft.com/office/drawing/2014/chart" uri="{C3380CC4-5D6E-409C-BE32-E72D297353CC}">
              <c16:uniqueId val="{00000000-B04B-4658-AABD-AB4A31C6B578}"/>
            </c:ext>
          </c:extLst>
        </c:ser>
        <c:ser>
          <c:idx val="1"/>
          <c:order val="1"/>
          <c:tx>
            <c:strRef>
              <c:f>Sheet3!$C$3</c:f>
              <c:strCache>
                <c:ptCount val="1"/>
                <c:pt idx="0">
                  <c:v>Sum of Total Revenue</c:v>
                </c:pt>
              </c:strCache>
            </c:strRef>
          </c:tx>
          <c:spPr>
            <a:solidFill>
              <a:srgbClr val="0070C0"/>
            </a:solidFill>
            <a:ln>
              <a:noFill/>
            </a:ln>
            <a:effectLst/>
          </c:spPr>
          <c:invertIfNegative val="0"/>
          <c:cat>
            <c:strRef>
              <c:f>Sheet3!$A$4:$A$6</c:f>
              <c:strCache>
                <c:ptCount val="2"/>
                <c:pt idx="0">
                  <c:v>Offline</c:v>
                </c:pt>
                <c:pt idx="1">
                  <c:v>Online</c:v>
                </c:pt>
              </c:strCache>
            </c:strRef>
          </c:cat>
          <c:val>
            <c:numRef>
              <c:f>Sheet3!$C$4:$C$6</c:f>
              <c:numCache>
                <c:formatCode>General</c:formatCode>
                <c:ptCount val="2"/>
                <c:pt idx="0">
                  <c:v>79094809.199999973</c:v>
                </c:pt>
                <c:pt idx="1">
                  <c:v>58253959.110000007</c:v>
                </c:pt>
              </c:numCache>
            </c:numRef>
          </c:val>
          <c:extLst>
            <c:ext xmlns:c16="http://schemas.microsoft.com/office/drawing/2014/chart" uri="{C3380CC4-5D6E-409C-BE32-E72D297353CC}">
              <c16:uniqueId val="{00000001-B04B-4658-AABD-AB4A31C6B578}"/>
            </c:ext>
          </c:extLst>
        </c:ser>
        <c:dLbls>
          <c:showLegendKey val="0"/>
          <c:showVal val="0"/>
          <c:showCatName val="0"/>
          <c:showSerName val="0"/>
          <c:showPercent val="0"/>
          <c:showBubbleSize val="0"/>
        </c:dLbls>
        <c:gapWidth val="219"/>
        <c:overlap val="-27"/>
        <c:axId val="1941064895"/>
        <c:axId val="1941065375"/>
      </c:barChart>
      <c:catAx>
        <c:axId val="194106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065375"/>
        <c:crosses val="autoZero"/>
        <c:auto val="1"/>
        <c:lblAlgn val="ctr"/>
        <c:lblOffset val="100"/>
        <c:noMultiLvlLbl val="0"/>
      </c:catAx>
      <c:valAx>
        <c:axId val="1941065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06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240393</xdr:colOff>
      <xdr:row>8</xdr:row>
      <xdr:rowOff>21771</xdr:rowOff>
    </xdr:from>
    <xdr:to>
      <xdr:col>8</xdr:col>
      <xdr:colOff>744765</xdr:colOff>
      <xdr:row>22</xdr:row>
      <xdr:rowOff>101143</xdr:rowOff>
    </xdr:to>
    <mc:AlternateContent xmlns:mc="http://schemas.openxmlformats.org/markup-compatibility/2006" xmlns:a14="http://schemas.microsoft.com/office/drawing/2010/main">
      <mc:Choice Requires="a14">
        <xdr:graphicFrame macro="">
          <xdr:nvGraphicFramePr>
            <xdr:cNvPr id="13" name="Year">
              <a:extLst>
                <a:ext uri="{FF2B5EF4-FFF2-40B4-BE49-F238E27FC236}">
                  <a16:creationId xmlns:a16="http://schemas.microsoft.com/office/drawing/2014/main" id="{5525902A-4102-35E9-0650-84FEB57712B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978322" y="147320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25400</xdr:rowOff>
    </xdr:from>
    <xdr:to>
      <xdr:col>29</xdr:col>
      <xdr:colOff>517071</xdr:colOff>
      <xdr:row>3</xdr:row>
      <xdr:rowOff>44450</xdr:rowOff>
    </xdr:to>
    <xdr:sp macro="" textlink="">
      <xdr:nvSpPr>
        <xdr:cNvPr id="2" name="Rectangle: Rounded Corners 1">
          <a:extLst>
            <a:ext uri="{FF2B5EF4-FFF2-40B4-BE49-F238E27FC236}">
              <a16:creationId xmlns:a16="http://schemas.microsoft.com/office/drawing/2014/main" id="{D6894138-3EBB-4D15-22CD-CACAE0859634}"/>
            </a:ext>
          </a:extLst>
        </xdr:cNvPr>
        <xdr:cNvSpPr/>
      </xdr:nvSpPr>
      <xdr:spPr>
        <a:xfrm>
          <a:off x="0" y="25400"/>
          <a:ext cx="18142857" cy="563336"/>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tx1"/>
              </a:solidFill>
            </a:rPr>
            <a:t>Amazon</a:t>
          </a:r>
          <a:r>
            <a:rPr lang="en-IN" sz="2800" b="1" baseline="0">
              <a:solidFill>
                <a:schemeClr val="tx1"/>
              </a:solidFill>
            </a:rPr>
            <a:t> Sales Performance Dashboard</a:t>
          </a:r>
          <a:endParaRPr lang="en-IN" sz="2800" b="1">
            <a:solidFill>
              <a:schemeClr val="tx1"/>
            </a:solidFill>
          </a:endParaRPr>
        </a:p>
      </xdr:txBody>
    </xdr:sp>
    <xdr:clientData/>
  </xdr:twoCellAnchor>
  <xdr:twoCellAnchor>
    <xdr:from>
      <xdr:col>0</xdr:col>
      <xdr:colOff>24135</xdr:colOff>
      <xdr:row>3</xdr:row>
      <xdr:rowOff>81643</xdr:rowOff>
    </xdr:from>
    <xdr:to>
      <xdr:col>3</xdr:col>
      <xdr:colOff>360778</xdr:colOff>
      <xdr:row>8</xdr:row>
      <xdr:rowOff>0</xdr:rowOff>
    </xdr:to>
    <xdr:sp macro="" textlink="KPI!B2">
      <xdr:nvSpPr>
        <xdr:cNvPr id="3" name="Rectangle: Rounded Corners 2">
          <a:extLst>
            <a:ext uri="{FF2B5EF4-FFF2-40B4-BE49-F238E27FC236}">
              <a16:creationId xmlns:a16="http://schemas.microsoft.com/office/drawing/2014/main" id="{90B7E766-E47C-0752-6B57-45B4F16F23D5}"/>
            </a:ext>
          </a:extLst>
        </xdr:cNvPr>
        <xdr:cNvSpPr/>
      </xdr:nvSpPr>
      <xdr:spPr>
        <a:xfrm>
          <a:off x="24135" y="625929"/>
          <a:ext cx="2160000" cy="825500"/>
        </a:xfrm>
        <a:prstGeom prst="round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en-US" sz="1400" b="1" i="0" u="none" strike="noStrike">
            <a:solidFill>
              <a:srgbClr val="000000"/>
            </a:solidFill>
            <a:latin typeface="Aptos Narrow"/>
            <a:ea typeface="+mn-ea"/>
            <a:cs typeface="+mn-cs"/>
          </a:endParaRPr>
        </a:p>
        <a:p>
          <a:pPr marL="0" indent="0" algn="ctr"/>
          <a:r>
            <a:rPr lang="en-US" sz="1400" b="1" i="0" u="none" strike="noStrike">
              <a:solidFill>
                <a:srgbClr val="000000"/>
              </a:solidFill>
              <a:latin typeface="Aptos Narrow"/>
              <a:ea typeface="+mn-ea"/>
              <a:cs typeface="+mn-cs"/>
            </a:rPr>
            <a:t>Total  Revenue</a:t>
          </a:r>
        </a:p>
        <a:p>
          <a:pPr marL="0" indent="0" algn="ctr"/>
          <a:fld id="{7C37034A-8756-45AF-B89B-89AC1D809C56}" type="TxLink">
            <a:rPr lang="en-US" sz="1400" b="1" i="0" u="none" strike="noStrike">
              <a:solidFill>
                <a:srgbClr val="000000"/>
              </a:solidFill>
              <a:latin typeface="Aptos Narrow"/>
              <a:ea typeface="+mn-ea"/>
              <a:cs typeface="+mn-cs"/>
            </a:rPr>
            <a:pPr marL="0" indent="0" algn="ctr"/>
            <a:t>£137,348,768.31</a:t>
          </a:fld>
          <a:endParaRPr lang="en-US" sz="1400" b="1" i="0" u="none" strike="noStrike">
            <a:solidFill>
              <a:srgbClr val="000000"/>
            </a:solidFill>
            <a:latin typeface="Aptos Narrow"/>
            <a:ea typeface="+mn-ea"/>
            <a:cs typeface="+mn-cs"/>
          </a:endParaRPr>
        </a:p>
        <a:p>
          <a:pPr marL="0" indent="0" algn="ctr"/>
          <a:endParaRPr lang="en-IN" sz="1400" b="1" i="0" u="none" strike="noStrike">
            <a:solidFill>
              <a:srgbClr val="000000"/>
            </a:solidFill>
            <a:latin typeface="Aptos Narrow"/>
            <a:ea typeface="+mn-ea"/>
            <a:cs typeface="+mn-cs"/>
          </a:endParaRPr>
        </a:p>
      </xdr:txBody>
    </xdr:sp>
    <xdr:clientData/>
  </xdr:twoCellAnchor>
  <xdr:twoCellAnchor>
    <xdr:from>
      <xdr:col>4</xdr:col>
      <xdr:colOff>223355</xdr:colOff>
      <xdr:row>3</xdr:row>
      <xdr:rowOff>140664</xdr:rowOff>
    </xdr:from>
    <xdr:to>
      <xdr:col>8</xdr:col>
      <xdr:colOff>408213</xdr:colOff>
      <xdr:row>8</xdr:row>
      <xdr:rowOff>57921</xdr:rowOff>
    </xdr:to>
    <xdr:sp macro="" textlink="KPI!B4">
      <xdr:nvSpPr>
        <xdr:cNvPr id="4" name="Rectangle: Rounded Corners 3">
          <a:extLst>
            <a:ext uri="{FF2B5EF4-FFF2-40B4-BE49-F238E27FC236}">
              <a16:creationId xmlns:a16="http://schemas.microsoft.com/office/drawing/2014/main" id="{B3243260-E3CA-45EA-A2F4-93FC739B58B2}"/>
            </a:ext>
          </a:extLst>
        </xdr:cNvPr>
        <xdr:cNvSpPr/>
      </xdr:nvSpPr>
      <xdr:spPr>
        <a:xfrm>
          <a:off x="2654498" y="684950"/>
          <a:ext cx="2616001" cy="824400"/>
        </a:xfrm>
        <a:prstGeom prst="round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0" u="none" strike="noStrike">
              <a:solidFill>
                <a:srgbClr val="000000"/>
              </a:solidFill>
              <a:latin typeface="Aptos Narrow"/>
              <a:ea typeface="+mn-ea"/>
              <a:cs typeface="+mn-cs"/>
            </a:rPr>
            <a:t>Total</a:t>
          </a:r>
          <a:r>
            <a:rPr lang="en-US" sz="1400" b="1" i="0" u="none" strike="noStrike" baseline="0">
              <a:solidFill>
                <a:srgbClr val="000000"/>
              </a:solidFill>
              <a:latin typeface="Aptos Narrow"/>
              <a:ea typeface="+mn-ea"/>
              <a:cs typeface="+mn-cs"/>
            </a:rPr>
            <a:t> Profit</a:t>
          </a:r>
          <a:endParaRPr lang="en-US" sz="1400" b="1" i="0" u="none" strike="noStrike">
            <a:solidFill>
              <a:srgbClr val="000000"/>
            </a:solidFill>
            <a:latin typeface="Aptos Narrow"/>
            <a:ea typeface="+mn-ea"/>
            <a:cs typeface="+mn-cs"/>
          </a:endParaRPr>
        </a:p>
        <a:p>
          <a:pPr marL="0" indent="0" algn="ctr"/>
          <a:fld id="{43A85799-CD10-4AC8-921B-A29B76FAFFF0}" type="TxLink">
            <a:rPr lang="en-US" sz="1400" b="1" i="0" u="none" strike="noStrike">
              <a:solidFill>
                <a:srgbClr val="000000"/>
              </a:solidFill>
              <a:latin typeface="Aptos Narrow"/>
              <a:ea typeface="+mn-ea"/>
              <a:cs typeface="+mn-cs"/>
            </a:rPr>
            <a:pPr marL="0" indent="0" algn="ctr"/>
            <a:t>£44,168,198.40</a:t>
          </a:fld>
          <a:endParaRPr lang="en-IN" sz="1400" b="1">
            <a:solidFill>
              <a:schemeClr val="tx1"/>
            </a:solidFill>
            <a:latin typeface="+mn-lt"/>
            <a:ea typeface="+mn-ea"/>
            <a:cs typeface="+mn-cs"/>
          </a:endParaRPr>
        </a:p>
      </xdr:txBody>
    </xdr:sp>
    <xdr:clientData/>
  </xdr:twoCellAnchor>
  <xdr:twoCellAnchor>
    <xdr:from>
      <xdr:col>9</xdr:col>
      <xdr:colOff>91260</xdr:colOff>
      <xdr:row>3</xdr:row>
      <xdr:rowOff>134266</xdr:rowOff>
    </xdr:from>
    <xdr:to>
      <xdr:col>13</xdr:col>
      <xdr:colOff>498929</xdr:colOff>
      <xdr:row>8</xdr:row>
      <xdr:rowOff>29923</xdr:rowOff>
    </xdr:to>
    <xdr:sp macro="" textlink="KPI!B6">
      <xdr:nvSpPr>
        <xdr:cNvPr id="5" name="Rectangle: Rounded Corners 4">
          <a:extLst>
            <a:ext uri="{FF2B5EF4-FFF2-40B4-BE49-F238E27FC236}">
              <a16:creationId xmlns:a16="http://schemas.microsoft.com/office/drawing/2014/main" id="{1EF89DF6-721B-4DA8-8F8A-7498741077FD}"/>
            </a:ext>
          </a:extLst>
        </xdr:cNvPr>
        <xdr:cNvSpPr/>
      </xdr:nvSpPr>
      <xdr:spPr>
        <a:xfrm>
          <a:off x="5561331" y="678552"/>
          <a:ext cx="2838812" cy="802800"/>
        </a:xfrm>
        <a:prstGeom prst="round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0" u="none" strike="noStrike">
              <a:solidFill>
                <a:srgbClr val="000000"/>
              </a:solidFill>
              <a:latin typeface="Aptos Narrow"/>
              <a:ea typeface="+mn-ea"/>
              <a:cs typeface="+mn-cs"/>
            </a:rPr>
            <a:t>Avg.Profit</a:t>
          </a:r>
          <a:r>
            <a:rPr lang="en-US" sz="1400" b="1" i="0" u="none" strike="noStrike" baseline="0">
              <a:solidFill>
                <a:srgbClr val="000000"/>
              </a:solidFill>
              <a:latin typeface="Aptos Narrow"/>
              <a:ea typeface="+mn-ea"/>
              <a:cs typeface="+mn-cs"/>
            </a:rPr>
            <a:t> Margin</a:t>
          </a:r>
          <a:endParaRPr lang="en-US" sz="1400" b="1" i="0" u="none" strike="noStrike">
            <a:solidFill>
              <a:srgbClr val="000000"/>
            </a:solidFill>
            <a:latin typeface="Aptos Narrow"/>
            <a:ea typeface="+mn-ea"/>
            <a:cs typeface="+mn-cs"/>
          </a:endParaRPr>
        </a:p>
        <a:p>
          <a:pPr marL="0" indent="0" algn="ctr"/>
          <a:fld id="{F6007B66-585C-4BEC-B905-4CB20A7656AC}" type="TxLink">
            <a:rPr lang="en-US" sz="1400" b="1" i="0" u="none" strike="noStrike">
              <a:solidFill>
                <a:srgbClr val="000000"/>
              </a:solidFill>
              <a:latin typeface="Aptos Narrow"/>
              <a:ea typeface="+mn-ea"/>
              <a:cs typeface="+mn-cs"/>
            </a:rPr>
            <a:pPr marL="0" indent="0" algn="ctr"/>
            <a:t>32.16%</a:t>
          </a:fld>
          <a:endParaRPr lang="en-IN" sz="1400" b="1" i="0" u="none" strike="noStrike">
            <a:solidFill>
              <a:srgbClr val="000000"/>
            </a:solidFill>
            <a:latin typeface="Aptos Narrow"/>
            <a:ea typeface="+mn-ea"/>
            <a:cs typeface="+mn-cs"/>
          </a:endParaRPr>
        </a:p>
      </xdr:txBody>
    </xdr:sp>
    <xdr:clientData/>
  </xdr:twoCellAnchor>
  <xdr:twoCellAnchor>
    <xdr:from>
      <xdr:col>14</xdr:col>
      <xdr:colOff>380999</xdr:colOff>
      <xdr:row>3</xdr:row>
      <xdr:rowOff>126999</xdr:rowOff>
    </xdr:from>
    <xdr:to>
      <xdr:col>20</xdr:col>
      <xdr:colOff>235856</xdr:colOff>
      <xdr:row>8</xdr:row>
      <xdr:rowOff>44256</xdr:rowOff>
    </xdr:to>
    <xdr:sp macro="" textlink="KPI!B8">
      <xdr:nvSpPr>
        <xdr:cNvPr id="6" name="Rectangle: Rounded Corners 5">
          <a:extLst>
            <a:ext uri="{FF2B5EF4-FFF2-40B4-BE49-F238E27FC236}">
              <a16:creationId xmlns:a16="http://schemas.microsoft.com/office/drawing/2014/main" id="{218DA790-41FF-4BEC-BE84-5F7AEA5C896E}"/>
            </a:ext>
          </a:extLst>
        </xdr:cNvPr>
        <xdr:cNvSpPr/>
      </xdr:nvSpPr>
      <xdr:spPr>
        <a:xfrm>
          <a:off x="8889999" y="671285"/>
          <a:ext cx="3501571" cy="824400"/>
        </a:xfrm>
        <a:prstGeom prst="round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0" u="none" strike="noStrike">
              <a:solidFill>
                <a:srgbClr val="000000"/>
              </a:solidFill>
              <a:latin typeface="Aptos Narrow"/>
              <a:ea typeface="+mn-ea"/>
              <a:cs typeface="+mn-cs"/>
            </a:rPr>
            <a:t>Max Profit Order</a:t>
          </a:r>
        </a:p>
        <a:p>
          <a:pPr marL="0" indent="0" algn="ctr"/>
          <a:fld id="{F0CF17A0-A866-4490-BB7A-0EE915800E25}" type="TxLink">
            <a:rPr lang="en-US" sz="1400" b="1" i="0" u="none" strike="noStrike">
              <a:solidFill>
                <a:srgbClr val="000000"/>
              </a:solidFill>
              <a:latin typeface="Aptos Narrow"/>
              <a:ea typeface="+mn-ea"/>
              <a:cs typeface="+mn-cs"/>
            </a:rPr>
            <a:pPr marL="0" indent="0" algn="ctr"/>
            <a:t>£1,719,922.04</a:t>
          </a:fld>
          <a:endParaRPr lang="en-IN" sz="1400" b="1" i="0" u="none" strike="noStrike">
            <a:solidFill>
              <a:srgbClr val="000000"/>
            </a:solidFill>
            <a:latin typeface="Aptos Narrow"/>
            <a:ea typeface="+mn-ea"/>
            <a:cs typeface="+mn-cs"/>
          </a:endParaRPr>
        </a:p>
      </xdr:txBody>
    </xdr:sp>
    <xdr:clientData/>
  </xdr:twoCellAnchor>
  <xdr:twoCellAnchor>
    <xdr:from>
      <xdr:col>21</xdr:col>
      <xdr:colOff>136071</xdr:colOff>
      <xdr:row>3</xdr:row>
      <xdr:rowOff>70280</xdr:rowOff>
    </xdr:from>
    <xdr:to>
      <xdr:col>27</xdr:col>
      <xdr:colOff>362856</xdr:colOff>
      <xdr:row>7</xdr:row>
      <xdr:rowOff>168966</xdr:rowOff>
    </xdr:to>
    <xdr:sp macro="" textlink="KPI!B10">
      <xdr:nvSpPr>
        <xdr:cNvPr id="7" name="Rectangle: Rounded Corners 6">
          <a:extLst>
            <a:ext uri="{FF2B5EF4-FFF2-40B4-BE49-F238E27FC236}">
              <a16:creationId xmlns:a16="http://schemas.microsoft.com/office/drawing/2014/main" id="{28F58C9C-22B9-4C7D-B423-5B66817F19CB}"/>
            </a:ext>
          </a:extLst>
        </xdr:cNvPr>
        <xdr:cNvSpPr/>
      </xdr:nvSpPr>
      <xdr:spPr>
        <a:xfrm>
          <a:off x="12899571" y="614566"/>
          <a:ext cx="3873499" cy="824400"/>
        </a:xfrm>
        <a:prstGeom prst="roundRect">
          <a:avLst/>
        </a:prstGeom>
        <a:solidFill>
          <a:schemeClr val="accent1">
            <a:lumMod val="20000"/>
            <a:lumOff val="8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0" u="none" strike="noStrike">
              <a:solidFill>
                <a:srgbClr val="000000"/>
              </a:solidFill>
              <a:latin typeface="Aptos Narrow"/>
              <a:ea typeface="+mn-ea"/>
              <a:cs typeface="+mn-cs"/>
            </a:rPr>
            <a:t>Avg.Profit</a:t>
          </a:r>
          <a:r>
            <a:rPr lang="en-US" sz="1400" b="1" i="0" u="none" strike="noStrike" baseline="0">
              <a:solidFill>
                <a:srgbClr val="000000"/>
              </a:solidFill>
              <a:latin typeface="Aptos Narrow"/>
              <a:ea typeface="+mn-ea"/>
              <a:cs typeface="+mn-cs"/>
            </a:rPr>
            <a:t> per Order</a:t>
          </a:r>
          <a:endParaRPr lang="en-US" sz="1400" b="1" i="0" u="none" strike="noStrike">
            <a:solidFill>
              <a:srgbClr val="000000"/>
            </a:solidFill>
            <a:latin typeface="Aptos Narrow"/>
            <a:ea typeface="+mn-ea"/>
            <a:cs typeface="+mn-cs"/>
          </a:endParaRPr>
        </a:p>
        <a:p>
          <a:pPr marL="0" indent="0" algn="ctr"/>
          <a:fld id="{C4146435-1FBC-4D27-8D18-3B8FE0AFDA34}" type="TxLink">
            <a:rPr lang="en-US" sz="1400" b="1" i="0" u="none" strike="noStrike">
              <a:solidFill>
                <a:srgbClr val="000000"/>
              </a:solidFill>
              <a:latin typeface="Aptos Narrow"/>
              <a:ea typeface="+mn-ea"/>
              <a:cs typeface="+mn-cs"/>
            </a:rPr>
            <a:pPr marL="0" indent="0" algn="ctr"/>
            <a:t>£441,681.98</a:t>
          </a:fld>
          <a:endParaRPr lang="en-IN" sz="1400" b="1" i="0" u="none" strike="noStrike">
            <a:solidFill>
              <a:srgbClr val="000000"/>
            </a:solidFill>
            <a:latin typeface="Aptos Narrow"/>
            <a:ea typeface="+mn-ea"/>
            <a:cs typeface="+mn-cs"/>
          </a:endParaRPr>
        </a:p>
      </xdr:txBody>
    </xdr:sp>
    <xdr:clientData/>
  </xdr:twoCellAnchor>
  <xdr:twoCellAnchor>
    <xdr:from>
      <xdr:col>14</xdr:col>
      <xdr:colOff>18144</xdr:colOff>
      <xdr:row>14</xdr:row>
      <xdr:rowOff>31624</xdr:rowOff>
    </xdr:from>
    <xdr:to>
      <xdr:col>27</xdr:col>
      <xdr:colOff>290286</xdr:colOff>
      <xdr:row>29</xdr:row>
      <xdr:rowOff>9073</xdr:rowOff>
    </xdr:to>
    <xdr:graphicFrame macro="">
      <xdr:nvGraphicFramePr>
        <xdr:cNvPr id="11" name="Chart 10">
          <a:extLst>
            <a:ext uri="{FF2B5EF4-FFF2-40B4-BE49-F238E27FC236}">
              <a16:creationId xmlns:a16="http://schemas.microsoft.com/office/drawing/2014/main" id="{675DC14D-9699-41F9-8F2E-F01DE1603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99783</xdr:colOff>
      <xdr:row>29</xdr:row>
      <xdr:rowOff>90714</xdr:rowOff>
    </xdr:from>
    <xdr:to>
      <xdr:col>13</xdr:col>
      <xdr:colOff>489856</xdr:colOff>
      <xdr:row>44</xdr:row>
      <xdr:rowOff>99786</xdr:rowOff>
    </xdr:to>
    <xdr:graphicFrame macro="">
      <xdr:nvGraphicFramePr>
        <xdr:cNvPr id="10" name="Chart 9">
          <a:extLst>
            <a:ext uri="{FF2B5EF4-FFF2-40B4-BE49-F238E27FC236}">
              <a16:creationId xmlns:a16="http://schemas.microsoft.com/office/drawing/2014/main" id="{F4A14A8C-B3AA-4951-9925-932682DD0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9071</xdr:colOff>
      <xdr:row>29</xdr:row>
      <xdr:rowOff>90715</xdr:rowOff>
    </xdr:from>
    <xdr:to>
      <xdr:col>27</xdr:col>
      <xdr:colOff>308429</xdr:colOff>
      <xdr:row>44</xdr:row>
      <xdr:rowOff>117929</xdr:rowOff>
    </xdr:to>
    <xdr:graphicFrame macro="">
      <xdr:nvGraphicFramePr>
        <xdr:cNvPr id="9" name="Chart 8">
          <a:extLst>
            <a:ext uri="{FF2B5EF4-FFF2-40B4-BE49-F238E27FC236}">
              <a16:creationId xmlns:a16="http://schemas.microsoft.com/office/drawing/2014/main" id="{75F16396-A22E-4C4D-A2C9-067973B77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9069</xdr:colOff>
      <xdr:row>14</xdr:row>
      <xdr:rowOff>45357</xdr:rowOff>
    </xdr:from>
    <xdr:to>
      <xdr:col>13</xdr:col>
      <xdr:colOff>489856</xdr:colOff>
      <xdr:row>29</xdr:row>
      <xdr:rowOff>9072</xdr:rowOff>
    </xdr:to>
    <xdr:graphicFrame macro="">
      <xdr:nvGraphicFramePr>
        <xdr:cNvPr id="8" name="Chart 7">
          <a:extLst>
            <a:ext uri="{FF2B5EF4-FFF2-40B4-BE49-F238E27FC236}">
              <a16:creationId xmlns:a16="http://schemas.microsoft.com/office/drawing/2014/main" id="{533BC7D0-3999-4ADC-B0D9-F532036BC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59751</xdr:colOff>
      <xdr:row>8</xdr:row>
      <xdr:rowOff>169963</xdr:rowOff>
    </xdr:from>
    <xdr:to>
      <xdr:col>3</xdr:col>
      <xdr:colOff>136072</xdr:colOff>
      <xdr:row>13</xdr:row>
      <xdr:rowOff>109305</xdr:rowOff>
    </xdr:to>
    <mc:AlternateContent xmlns:mc="http://schemas.openxmlformats.org/markup-compatibility/2006" xmlns:a14="http://schemas.microsoft.com/office/drawing/2010/main">
      <mc:Choice Requires="a14">
        <xdr:graphicFrame macro="">
          <xdr:nvGraphicFramePr>
            <xdr:cNvPr id="12" name="Sales Channel 1">
              <a:extLst>
                <a:ext uri="{FF2B5EF4-FFF2-40B4-BE49-F238E27FC236}">
                  <a16:creationId xmlns:a16="http://schemas.microsoft.com/office/drawing/2014/main" id="{A16DD445-8094-4B12-BA4D-EB0D38DC313A}"/>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59751" y="1621392"/>
              <a:ext cx="1899678" cy="846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102471</xdr:colOff>
      <xdr:row>8</xdr:row>
      <xdr:rowOff>156814</xdr:rowOff>
    </xdr:from>
    <xdr:to>
      <xdr:col>7</xdr:col>
      <xdr:colOff>595659</xdr:colOff>
      <xdr:row>13</xdr:row>
      <xdr:rowOff>180763</xdr:rowOff>
    </xdr:to>
    <mc:AlternateContent xmlns:mc="http://schemas.openxmlformats.org/markup-compatibility/2006" xmlns:a14="http://schemas.microsoft.com/office/drawing/2010/main">
      <mc:Choice Requires="a14">
        <xdr:graphicFrame macro="">
          <xdr:nvGraphicFramePr>
            <xdr:cNvPr id="13" name="Country 1">
              <a:extLst>
                <a:ext uri="{FF2B5EF4-FFF2-40B4-BE49-F238E27FC236}">
                  <a16:creationId xmlns:a16="http://schemas.microsoft.com/office/drawing/2014/main" id="{4D7C29C8-F20F-4BF8-92A0-9F7D7857CB0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533614" y="1608243"/>
              <a:ext cx="2316545" cy="931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90714</xdr:colOff>
      <xdr:row>8</xdr:row>
      <xdr:rowOff>167921</xdr:rowOff>
    </xdr:from>
    <xdr:to>
      <xdr:col>20</xdr:col>
      <xdr:colOff>136072</xdr:colOff>
      <xdr:row>13</xdr:row>
      <xdr:rowOff>154214</xdr:rowOff>
    </xdr:to>
    <mc:AlternateContent xmlns:mc="http://schemas.openxmlformats.org/markup-compatibility/2006" xmlns:a14="http://schemas.microsoft.com/office/drawing/2010/main">
      <mc:Choice Requires="a14">
        <xdr:graphicFrame macro="">
          <xdr:nvGraphicFramePr>
            <xdr:cNvPr id="14" name="Delivery Status 1">
              <a:extLst>
                <a:ext uri="{FF2B5EF4-FFF2-40B4-BE49-F238E27FC236}">
                  <a16:creationId xmlns:a16="http://schemas.microsoft.com/office/drawing/2014/main" id="{EC857895-B7DD-44DC-B917-6AD58C715069}"/>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9207500" y="1619350"/>
              <a:ext cx="3084286" cy="893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495747</xdr:colOff>
      <xdr:row>8</xdr:row>
      <xdr:rowOff>92520</xdr:rowOff>
    </xdr:from>
    <xdr:to>
      <xdr:col>27</xdr:col>
      <xdr:colOff>208643</xdr:colOff>
      <xdr:row>13</xdr:row>
      <xdr:rowOff>105775</xdr:rowOff>
    </xdr:to>
    <mc:AlternateContent xmlns:mc="http://schemas.openxmlformats.org/markup-compatibility/2006" xmlns:a14="http://schemas.microsoft.com/office/drawing/2010/main">
      <mc:Choice Requires="a14">
        <xdr:graphicFrame macro="">
          <xdr:nvGraphicFramePr>
            <xdr:cNvPr id="15" name="Months (Order Date) 1">
              <a:extLst>
                <a:ext uri="{FF2B5EF4-FFF2-40B4-BE49-F238E27FC236}">
                  <a16:creationId xmlns:a16="http://schemas.microsoft.com/office/drawing/2014/main" id="{9A7D01FF-32D9-4E8F-AA1B-78C60E5B6D2F}"/>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13259247" y="1543949"/>
              <a:ext cx="3359610" cy="9203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186230</xdr:colOff>
      <xdr:row>8</xdr:row>
      <xdr:rowOff>126465</xdr:rowOff>
    </xdr:from>
    <xdr:to>
      <xdr:col>14</xdr:col>
      <xdr:colOff>108857</xdr:colOff>
      <xdr:row>13</xdr:row>
      <xdr:rowOff>145142</xdr:rowOff>
    </xdr:to>
    <mc:AlternateContent xmlns:mc="http://schemas.openxmlformats.org/markup-compatibility/2006" xmlns:a14="http://schemas.microsoft.com/office/drawing/2010/main">
      <mc:Choice Requires="a14">
        <xdr:graphicFrame macro="">
          <xdr:nvGraphicFramePr>
            <xdr:cNvPr id="16" name="Year 1">
              <a:extLst>
                <a:ext uri="{FF2B5EF4-FFF2-40B4-BE49-F238E27FC236}">
                  <a16:creationId xmlns:a16="http://schemas.microsoft.com/office/drawing/2014/main" id="{7940D176-1426-4899-BD40-140ADCE5992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656301" y="1577894"/>
              <a:ext cx="2961556" cy="925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yyed sami" refreshedDate="46070.980759143516" createdVersion="8" refreshedVersion="8" minRefreshableVersion="3" recordCount="100" xr:uid="{524EEA00-4ECC-4A9F-81B5-62B1A7EF3D9F}">
  <cacheSource type="worksheet">
    <worksheetSource ref="A1:T101" sheet="Amazon Sales data"/>
  </cacheSource>
  <cacheFields count="23">
    <cacheField name="Region" numFmtId="0">
      <sharedItems/>
    </cacheField>
    <cacheField name="Country" numFmtId="0">
      <sharedItems count="76">
        <s v="Tuvalu"/>
        <s v="Grenada"/>
        <s v="Russia"/>
        <s v="Sao Tome and Principe"/>
        <s v="Rwanda"/>
        <s v="Solomon Islands"/>
        <s v="Angola"/>
        <s v="Burkina Faso"/>
        <s v="Republic of the Congo"/>
        <s v="Senegal"/>
        <s v="Kyrgyzstan"/>
        <s v="Cape Verde"/>
        <s v="Bangladesh"/>
        <s v="Honduras"/>
        <s v="Mongolia"/>
        <s v="Bulgaria"/>
        <s v="Sri Lanka"/>
        <s v="Cameroon"/>
        <s v="Turkmenistan"/>
        <s v="East Timor"/>
        <s v="Norway"/>
        <s v="Portugal"/>
        <s v="New Zealand"/>
        <s v="Moldova "/>
        <s v="France"/>
        <s v="Kiribati"/>
        <s v="Mali"/>
        <s v="The Gambia"/>
        <s v="Switzerland"/>
        <s v="South Sudan"/>
        <s v="Australia"/>
        <s v="Myanmar"/>
        <s v="Djibouti"/>
        <s v="Costa Rica"/>
        <s v="Syria"/>
        <s v="Brunei"/>
        <s v="Niger"/>
        <s v="Azerbaijan"/>
        <s v="Slovakia"/>
        <s v="Comoros"/>
        <s v="Iceland"/>
        <s v="Macedonia"/>
        <s v="Mauritania"/>
        <s v="Albania"/>
        <s v="Lesotho"/>
        <s v="Saudi Arabia"/>
        <s v="Sierra Leone"/>
        <s v="Cote d'Ivoire"/>
        <s v="Fiji"/>
        <s v="Austria"/>
        <s v="United Kingdom"/>
        <s v="San Marino"/>
        <s v="Libya"/>
        <s v="Haiti"/>
        <s v="Gabon"/>
        <s v="Belize"/>
        <s v="Lithuania"/>
        <s v="Madagascar"/>
        <s v="Democratic Republic of the Congo"/>
        <s v="Pakistan"/>
        <s v="Mexico"/>
        <s v="Federated States of Micronesia"/>
        <s v="Laos"/>
        <s v="Monaco"/>
        <s v="Samoa "/>
        <s v="Spain"/>
        <s v="Lebanon"/>
        <s v="Iran"/>
        <s v="Zambia"/>
        <s v="Kenya"/>
        <s v="Kuwait"/>
        <s v="Slovenia"/>
        <s v="Romania"/>
        <s v="Nicaragua"/>
        <s v="Malaysia"/>
        <s v="Mozambique"/>
      </sharedItems>
    </cacheField>
    <cacheField name="Item Type" numFmtId="0">
      <sharedItems/>
    </cacheField>
    <cacheField name="Sales Channel" numFmtId="0">
      <sharedItems count="2">
        <s v="Offline"/>
        <s v="Online"/>
      </sharedItems>
    </cacheField>
    <cacheField name="Order Priority" numFmtId="0">
      <sharedItems/>
    </cacheField>
    <cacheField name="Order Date" numFmtId="14">
      <sharedItems containsSemiMixedTypes="0" containsNonDate="0" containsDate="1" containsString="0" minDate="2010-02-02T00:00:00" maxDate="2017-05-23T00:00:00" count="100">
        <d v="2010-05-28T00:00:00"/>
        <d v="2012-08-22T00:00:00"/>
        <d v="2014-05-02T00:00:00"/>
        <d v="2014-06-20T00:00:00"/>
        <d v="2013-02-01T00:00:00"/>
        <d v="2015-02-04T00:00:00"/>
        <d v="2011-04-23T00:00:00"/>
        <d v="2012-07-17T00:00:00"/>
        <d v="2015-07-14T00:00:00"/>
        <d v="2014-04-18T00:00:00"/>
        <d v="2011-06-24T00:00:00"/>
        <d v="2014-08-02T00:00:00"/>
        <d v="2017-01-13T00:00:00"/>
        <d v="2017-02-08T00:00:00"/>
        <d v="2014-02-19T00:00:00"/>
        <d v="2012-04-23T00:00:00"/>
        <d v="2016-11-19T00:00:00"/>
        <d v="2015-04-01T00:00:00"/>
        <d v="2010-12-30T00:00:00"/>
        <d v="2012-07-31T00:00:00"/>
        <d v="2014-05-14T00:00:00"/>
        <d v="2015-07-31T00:00:00"/>
        <d v="2016-06-30T00:00:00"/>
        <d v="2014-09-08T00:00:00"/>
        <d v="2016-05-07T00:00:00"/>
        <d v="2017-05-22T00:00:00"/>
        <d v="2014-10-13T00:00:00"/>
        <d v="2010-05-07T00:00:00"/>
        <d v="2014-07-18T00:00:00"/>
        <d v="2012-05-26T00:00:00"/>
        <d v="2012-09-17T00:00:00"/>
        <d v="2013-12-29T00:00:00"/>
        <d v="2015-10-27T00:00:00"/>
        <d v="2015-01-16T00:00:00"/>
        <d v="2017-02-25T00:00:00"/>
        <d v="2017-05-08T00:00:00"/>
        <d v="2011-11-22T00:00:00"/>
        <d v="2017-01-14T00:00:00"/>
        <d v="2012-04-01T00:00:00"/>
        <d v="2012-02-16T00:00:00"/>
        <d v="2017-03-11T00:00:00"/>
        <d v="2010-02-06T00:00:00"/>
        <d v="2012-06-07T00:00:00"/>
        <d v="2012-10-06T00:00:00"/>
        <d v="2015-11-14T00:00:00"/>
        <d v="2016-03-29T00:00:00"/>
        <d v="2016-12-31T00:00:00"/>
        <d v="2010-12-23T00:00:00"/>
        <d v="2014-10-14T00:00:00"/>
        <d v="2012-01-11T00:00:00"/>
        <d v="2010-02-02T00:00:00"/>
        <d v="2013-08-18T00:00:00"/>
        <d v="2013-03-25T00:00:00"/>
        <d v="2011-11-26T00:00:00"/>
        <d v="2013-09-17T00:00:00"/>
        <d v="2012-06-08T00:00:00"/>
        <d v="2010-06-30T00:00:00"/>
        <d v="2015-02-23T00:00:00"/>
        <d v="2012-01-05T00:00:00"/>
        <d v="2014-04-07T00:00:00"/>
        <d v="2013-06-09T00:00:00"/>
        <d v="2013-06-26T00:00:00"/>
        <d v="2011-11-07T00:00:00"/>
        <d v="2010-10-30T00:00:00"/>
        <d v="2013-10-13T00:00:00"/>
        <d v="2013-10-11T00:00:00"/>
        <d v="2012-07-08T00:00:00"/>
        <d v="2016-07-25T00:00:00"/>
        <d v="2010-10-24T00:00:00"/>
        <d v="2015-04-25T00:00:00"/>
        <d v="2013-04-23T00:00:00"/>
        <d v="2015-08-14T00:00:00"/>
        <d v="2011-05-26T00:00:00"/>
        <d v="2017-05-20T00:00:00"/>
        <d v="2013-07-05T00:00:00"/>
        <d v="2014-11-06T00:00:00"/>
        <d v="2014-10-28T00:00:00"/>
        <d v="2011-09-15T00:00:00"/>
        <d v="2012-05-29T00:00:00"/>
        <d v="2013-07-20T00:00:00"/>
        <d v="2012-10-21T00:00:00"/>
        <d v="2012-09-18T00:00:00"/>
        <d v="2016-11-15T00:00:00"/>
        <d v="2011-01-04T00:00:00"/>
        <d v="2012-03-18T00:00:00"/>
        <d v="2012-02-17T00:00:00"/>
        <d v="2011-01-16T00:00:00"/>
        <d v="2014-02-03T00:00:00"/>
        <d v="2012-04-30T00:00:00"/>
        <d v="2016-10-23T00:00:00"/>
        <d v="2016-12-06T00:00:00"/>
        <d v="2014-07-07T00:00:00"/>
        <d v="2012-06-13T00:00:00"/>
        <d v="2010-11-26T00:00:00"/>
        <d v="2011-02-08T00:00:00"/>
        <d v="2011-07-26T00:00:00"/>
        <d v="2011-11-11T00:00:00"/>
        <d v="2016-06-01T00:00:00"/>
        <d v="2015-07-30T00:00:00"/>
        <d v="2012-02-10T00:00:00"/>
      </sharedItems>
      <fieldGroup par="22"/>
    </cacheField>
    <cacheField name="Order ID" numFmtId="0">
      <sharedItems containsSemiMixedTypes="0" containsString="0" containsNumber="1" containsInteger="1" minValue="114606559" maxValue="994022214"/>
    </cacheField>
    <cacheField name="Ship Date" numFmtId="14">
      <sharedItems containsSemiMixedTypes="0" containsNonDate="0" containsDate="1" containsString="0" minDate="2010-02-25T00:00:00" maxDate="2017-06-18T00:00:00"/>
    </cacheField>
    <cacheField name="Units Sold" numFmtId="0">
      <sharedItems containsSemiMixedTypes="0" containsString="0" containsNumber="1" containsInteger="1" minValue="124" maxValue="9925"/>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Total Revenue" numFmtId="0">
      <sharedItems containsSemiMixedTypes="0" containsString="0" containsNumber="1" minValue="4870.26" maxValue="5997054.9800000004"/>
    </cacheField>
    <cacheField name="Total Cost" numFmtId="0">
      <sharedItems containsSemiMixedTypes="0" containsString="0" containsNumber="1" minValue="3612.24" maxValue="4509793.96"/>
    </cacheField>
    <cacheField name="Total Profit" numFmtId="0">
      <sharedItems containsSemiMixedTypes="0" containsString="0" containsNumber="1" minValue="1258.02" maxValue="1719922.04"/>
    </cacheField>
    <cacheField name="Year" numFmtId="0">
      <sharedItems containsSemiMixedTypes="0" containsString="0" containsNumber="1" containsInteger="1" minValue="2010" maxValue="2017" count="8">
        <n v="2010"/>
        <n v="2012"/>
        <n v="2014"/>
        <n v="2013"/>
        <n v="2015"/>
        <n v="2011"/>
        <n v="2017"/>
        <n v="2016"/>
      </sharedItems>
    </cacheField>
    <cacheField name="Month" numFmtId="0">
      <sharedItems/>
    </cacheField>
    <cacheField name="Profit Margin" numFmtId="10">
      <sharedItems containsSemiMixedTypes="0" containsString="0" containsNumber="1" minValue="0.1356" maxValue="0.67200000000000004"/>
    </cacheField>
    <cacheField name="Profit Category" numFmtId="0">
      <sharedItems/>
    </cacheField>
    <cacheField name="Delivery Days" numFmtId="0">
      <sharedItems containsSemiMixedTypes="0" containsString="0" containsNumber="1" containsInteger="1" minValue="0" maxValue="50"/>
    </cacheField>
    <cacheField name="Delivery Status" numFmtId="0">
      <sharedItems count="3">
        <s v="Late"/>
        <s v="Fast"/>
        <s v="Medium"/>
      </sharedItems>
    </cacheField>
    <cacheField name="Months (Order Date)" numFmtId="0" databaseField="0">
      <fieldGroup base="5">
        <rangePr groupBy="months" startDate="2010-02-02T00:00:00" endDate="2017-05-23T00:00:00"/>
        <groupItems count="14">
          <s v="&lt;02/02/2010"/>
          <s v="Jan"/>
          <s v="Feb"/>
          <s v="Mar"/>
          <s v="Apr"/>
          <s v="May"/>
          <s v="Jun"/>
          <s v="Jul"/>
          <s v="Aug"/>
          <s v="Sep"/>
          <s v="Oct"/>
          <s v="Nov"/>
          <s v="Dec"/>
          <s v="&gt;23/05/2017"/>
        </groupItems>
      </fieldGroup>
    </cacheField>
    <cacheField name="Quarters (Order Date)" numFmtId="0" databaseField="0">
      <fieldGroup base="5">
        <rangePr groupBy="quarters" startDate="2010-02-02T00:00:00" endDate="2017-05-23T00:00:00"/>
        <groupItems count="6">
          <s v="&lt;02/02/2010"/>
          <s v="Qtr1"/>
          <s v="Qtr2"/>
          <s v="Qtr3"/>
          <s v="Qtr4"/>
          <s v="&gt;23/05/2017"/>
        </groupItems>
      </fieldGroup>
    </cacheField>
    <cacheField name="Years (Order Date)" numFmtId="0" databaseField="0">
      <fieldGroup base="5">
        <rangePr groupBy="years" startDate="2010-02-02T00:00:00" endDate="2017-05-23T00:00:00"/>
        <groupItems count="10">
          <s v="&lt;02/02/2010"/>
          <s v="2010"/>
          <s v="2011"/>
          <s v="2012"/>
          <s v="2013"/>
          <s v="2014"/>
          <s v="2015"/>
          <s v="2016"/>
          <s v="2017"/>
          <s v="&gt;23/05/2017"/>
        </groupItems>
      </fieldGroup>
    </cacheField>
  </cacheFields>
  <extLst>
    <ext xmlns:x14="http://schemas.microsoft.com/office/spreadsheetml/2009/9/main" uri="{725AE2AE-9491-48be-B2B4-4EB974FC3084}">
      <x14:pivotCacheDefinition pivotCacheId="14881582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Australia and Oceania"/>
    <x v="0"/>
    <s v="Baby Food"/>
    <x v="0"/>
    <s v="H"/>
    <x v="0"/>
    <n v="669165933"/>
    <d v="2010-06-27T00:00:00"/>
    <n v="9925"/>
    <n v="255.28"/>
    <n v="159.41999999999999"/>
    <n v="2533654"/>
    <n v="1582243.5"/>
    <n v="951410.5"/>
    <x v="0"/>
    <s v="Jun"/>
    <n v="0.3755"/>
    <s v="High"/>
    <n v="30"/>
    <x v="0"/>
  </r>
  <r>
    <s v="Central America and the Caribbean"/>
    <x v="1"/>
    <s v="Cereal"/>
    <x v="1"/>
    <s v="C"/>
    <x v="1"/>
    <n v="963881480"/>
    <d v="2012-09-15T00:00:00"/>
    <n v="2804"/>
    <n v="205.7"/>
    <n v="117.11"/>
    <n v="576782.80000000005"/>
    <n v="328376.44"/>
    <n v="248406.36"/>
    <x v="1"/>
    <s v="Sep"/>
    <n v="0.43070000000000003"/>
    <s v="High"/>
    <n v="24"/>
    <x v="0"/>
  </r>
  <r>
    <s v="Europe"/>
    <x v="2"/>
    <s v="Office Supplies"/>
    <x v="0"/>
    <s v="L"/>
    <x v="2"/>
    <n v="341417157"/>
    <d v="2014-05-08T00:00:00"/>
    <n v="1779"/>
    <n v="651.21"/>
    <n v="524.96"/>
    <n v="1158502.5900000001"/>
    <n v="933903.84"/>
    <n v="224598.75"/>
    <x v="2"/>
    <s v="May"/>
    <n v="0.19389999999999999"/>
    <s v="High"/>
    <n v="6"/>
    <x v="1"/>
  </r>
  <r>
    <s v="Sub-Saharan Africa"/>
    <x v="3"/>
    <s v="Fruits"/>
    <x v="1"/>
    <s v="C"/>
    <x v="3"/>
    <n v="514321792"/>
    <d v="2014-07-05T00:00:00"/>
    <n v="8102"/>
    <n v="9.33"/>
    <n v="6.92"/>
    <n v="75591.66"/>
    <n v="56065.84"/>
    <n v="19525.82"/>
    <x v="2"/>
    <s v="Jul"/>
    <n v="0.25829999999999997"/>
    <s v="Low"/>
    <n v="15"/>
    <x v="2"/>
  </r>
  <r>
    <s v="Sub-Saharan Africa"/>
    <x v="4"/>
    <s v="Office Supplies"/>
    <x v="0"/>
    <s v="L"/>
    <x v="4"/>
    <n v="115456712"/>
    <d v="2013-02-06T00:00:00"/>
    <n v="5062"/>
    <n v="651.21"/>
    <n v="524.96"/>
    <n v="3296425.02"/>
    <n v="2657347.52"/>
    <n v="639077.5"/>
    <x v="3"/>
    <s v="Feb"/>
    <n v="0.19389999999999999"/>
    <s v="High"/>
    <n v="5"/>
    <x v="1"/>
  </r>
  <r>
    <s v="Australia and Oceania"/>
    <x v="5"/>
    <s v="Baby Food"/>
    <x v="1"/>
    <s v="C"/>
    <x v="5"/>
    <n v="547995746"/>
    <d v="2015-02-21T00:00:00"/>
    <n v="2974"/>
    <n v="255.28"/>
    <n v="159.41999999999999"/>
    <n v="759202.72"/>
    <n v="474115.08"/>
    <n v="285087.64"/>
    <x v="4"/>
    <s v="Feb"/>
    <n v="0.3755"/>
    <s v="High"/>
    <n v="17"/>
    <x v="2"/>
  </r>
  <r>
    <s v="Sub-Saharan Africa"/>
    <x v="6"/>
    <s v="Household"/>
    <x v="0"/>
    <s v="M"/>
    <x v="6"/>
    <n v="135425221"/>
    <d v="2011-04-27T00:00:00"/>
    <n v="4187"/>
    <n v="668.27"/>
    <n v="502.54"/>
    <n v="2798046.49"/>
    <n v="2104134.98"/>
    <n v="693911.51"/>
    <x v="5"/>
    <s v="Apr"/>
    <n v="0.248"/>
    <s v="High"/>
    <n v="4"/>
    <x v="1"/>
  </r>
  <r>
    <s v="Sub-Saharan Africa"/>
    <x v="7"/>
    <s v="Vegetables"/>
    <x v="1"/>
    <s v="H"/>
    <x v="7"/>
    <n v="871543967"/>
    <d v="2012-07-27T00:00:00"/>
    <n v="8082"/>
    <n v="154.06"/>
    <n v="90.93"/>
    <n v="1245112.92"/>
    <n v="734896.26"/>
    <n v="510216.66"/>
    <x v="1"/>
    <s v="Jul"/>
    <n v="0.4098"/>
    <s v="High"/>
    <n v="10"/>
    <x v="1"/>
  </r>
  <r>
    <s v="Sub-Saharan Africa"/>
    <x v="8"/>
    <s v="Personal Care"/>
    <x v="0"/>
    <s v="M"/>
    <x v="8"/>
    <n v="770463311"/>
    <d v="2015-08-25T00:00:00"/>
    <n v="6070"/>
    <n v="81.73"/>
    <n v="56.67"/>
    <n v="496101.1"/>
    <n v="343986.9"/>
    <n v="152114.20000000001"/>
    <x v="4"/>
    <s v="Aug"/>
    <n v="0.30659999999999998"/>
    <s v="High"/>
    <n v="42"/>
    <x v="0"/>
  </r>
  <r>
    <s v="Sub-Saharan Africa"/>
    <x v="9"/>
    <s v="Cereal"/>
    <x v="1"/>
    <s v="H"/>
    <x v="9"/>
    <n v="616607081"/>
    <d v="2014-05-30T00:00:00"/>
    <n v="6593"/>
    <n v="205.7"/>
    <n v="117.11"/>
    <n v="1356180.1"/>
    <n v="772106.23"/>
    <n v="584073.87"/>
    <x v="2"/>
    <s v="May"/>
    <n v="0.43070000000000003"/>
    <s v="High"/>
    <n v="42"/>
    <x v="0"/>
  </r>
  <r>
    <s v="Asia"/>
    <x v="10"/>
    <s v="Vegetables"/>
    <x v="1"/>
    <s v="H"/>
    <x v="10"/>
    <n v="814711606"/>
    <d v="2011-07-12T00:00:00"/>
    <n v="124"/>
    <n v="154.06"/>
    <n v="90.93"/>
    <n v="19103.439999999999"/>
    <n v="11275.32"/>
    <n v="7828.12"/>
    <x v="5"/>
    <s v="Jul"/>
    <n v="0.4098"/>
    <s v="Low"/>
    <n v="18"/>
    <x v="2"/>
  </r>
  <r>
    <s v="Sub-Saharan Africa"/>
    <x v="11"/>
    <s v="Clothes"/>
    <x v="0"/>
    <s v="H"/>
    <x v="11"/>
    <n v="939825713"/>
    <d v="2014-08-19T00:00:00"/>
    <n v="4168"/>
    <n v="109.28"/>
    <n v="35.840000000000003"/>
    <n v="455479.03999999998"/>
    <n v="149381.12"/>
    <n v="306097.91999999998"/>
    <x v="2"/>
    <s v="Aug"/>
    <n v="0.67200000000000004"/>
    <s v="High"/>
    <n v="17"/>
    <x v="2"/>
  </r>
  <r>
    <s v="Asia"/>
    <x v="12"/>
    <s v="Clothes"/>
    <x v="1"/>
    <s v="L"/>
    <x v="12"/>
    <n v="187310731"/>
    <d v="2017-03-01T00:00:00"/>
    <n v="8263"/>
    <n v="109.28"/>
    <n v="35.840000000000003"/>
    <n v="902980.64"/>
    <n v="296145.91999999998"/>
    <n v="606834.72"/>
    <x v="6"/>
    <s v="Mar"/>
    <n v="0.67200000000000004"/>
    <s v="High"/>
    <n v="47"/>
    <x v="0"/>
  </r>
  <r>
    <s v="Central America and the Caribbean"/>
    <x v="13"/>
    <s v="Household"/>
    <x v="0"/>
    <s v="H"/>
    <x v="13"/>
    <n v="522840487"/>
    <d v="2017-02-13T00:00:00"/>
    <n v="8974"/>
    <n v="668.27"/>
    <n v="502.54"/>
    <n v="5997054.9800000004"/>
    <n v="4509793.96"/>
    <n v="1487261.02"/>
    <x v="6"/>
    <s v="Feb"/>
    <n v="0.248"/>
    <s v="High"/>
    <n v="5"/>
    <x v="1"/>
  </r>
  <r>
    <s v="Asia"/>
    <x v="14"/>
    <s v="Personal Care"/>
    <x v="0"/>
    <s v="C"/>
    <x v="14"/>
    <n v="832401311"/>
    <d v="2014-02-23T00:00:00"/>
    <n v="4901"/>
    <n v="81.73"/>
    <n v="56.67"/>
    <n v="400558.73"/>
    <n v="277739.67"/>
    <n v="122819.06"/>
    <x v="2"/>
    <s v="Feb"/>
    <n v="0.30659999999999998"/>
    <s v="High"/>
    <n v="4"/>
    <x v="1"/>
  </r>
  <r>
    <s v="Europe"/>
    <x v="15"/>
    <s v="Clothes"/>
    <x v="1"/>
    <s v="M"/>
    <x v="15"/>
    <n v="972292029"/>
    <d v="2012-06-03T00:00:00"/>
    <n v="1673"/>
    <n v="109.28"/>
    <n v="35.840000000000003"/>
    <n v="182825.44"/>
    <n v="59960.32"/>
    <n v="122865.12"/>
    <x v="1"/>
    <s v="Jun"/>
    <n v="0.67200000000000004"/>
    <s v="High"/>
    <n v="41"/>
    <x v="0"/>
  </r>
  <r>
    <s v="Asia"/>
    <x v="16"/>
    <s v="Cosmetics"/>
    <x v="0"/>
    <s v="M"/>
    <x v="16"/>
    <n v="419123971"/>
    <d v="2016-12-18T00:00:00"/>
    <n v="6952"/>
    <n v="437.2"/>
    <n v="263.33"/>
    <n v="3039414.4"/>
    <n v="1830670.16"/>
    <n v="1208744.24"/>
    <x v="7"/>
    <s v="Dec"/>
    <n v="0.3977"/>
    <s v="High"/>
    <n v="29"/>
    <x v="0"/>
  </r>
  <r>
    <s v="Sub-Saharan Africa"/>
    <x v="17"/>
    <s v="Beverages"/>
    <x v="0"/>
    <s v="C"/>
    <x v="17"/>
    <n v="519820964"/>
    <d v="2015-04-18T00:00:00"/>
    <n v="5430"/>
    <n v="47.45"/>
    <n v="31.79"/>
    <n v="257653.5"/>
    <n v="172619.7"/>
    <n v="85033.8"/>
    <x v="4"/>
    <s v="Apr"/>
    <n v="0.33"/>
    <s v="High"/>
    <n v="17"/>
    <x v="2"/>
  </r>
  <r>
    <s v="Asia"/>
    <x v="18"/>
    <s v="Household"/>
    <x v="0"/>
    <s v="L"/>
    <x v="18"/>
    <n v="441619336"/>
    <d v="2011-01-20T00:00:00"/>
    <n v="3830"/>
    <n v="668.27"/>
    <n v="502.54"/>
    <n v="2559474.1"/>
    <n v="1924728.2"/>
    <n v="634745.9"/>
    <x v="5"/>
    <s v="Jan"/>
    <n v="0.248"/>
    <s v="High"/>
    <n v="21"/>
    <x v="0"/>
  </r>
  <r>
    <s v="Australia and Oceania"/>
    <x v="19"/>
    <s v="Meat"/>
    <x v="1"/>
    <s v="L"/>
    <x v="19"/>
    <n v="322067916"/>
    <d v="2012-09-11T00:00:00"/>
    <n v="5908"/>
    <n v="421.89"/>
    <n v="364.69"/>
    <n v="2492526.12"/>
    <n v="2154588.52"/>
    <n v="337937.6"/>
    <x v="1"/>
    <s v="Sep"/>
    <n v="0.1356"/>
    <s v="High"/>
    <n v="42"/>
    <x v="0"/>
  </r>
  <r>
    <s v="Europe"/>
    <x v="20"/>
    <s v="Baby Food"/>
    <x v="1"/>
    <s v="L"/>
    <x v="20"/>
    <n v="819028031"/>
    <d v="2014-06-28T00:00:00"/>
    <n v="7450"/>
    <n v="255.28"/>
    <n v="159.41999999999999"/>
    <n v="1901836"/>
    <n v="1187679"/>
    <n v="714157"/>
    <x v="2"/>
    <s v="Jun"/>
    <n v="0.3755"/>
    <s v="High"/>
    <n v="45"/>
    <x v="0"/>
  </r>
  <r>
    <s v="Europe"/>
    <x v="21"/>
    <s v="Baby Food"/>
    <x v="1"/>
    <s v="H"/>
    <x v="21"/>
    <n v="860673511"/>
    <d v="2015-09-03T00:00:00"/>
    <n v="1273"/>
    <n v="255.28"/>
    <n v="159.41999999999999"/>
    <n v="324971.44"/>
    <n v="202941.66"/>
    <n v="122029.78"/>
    <x v="4"/>
    <s v="Sep"/>
    <n v="0.3755"/>
    <s v="High"/>
    <n v="34"/>
    <x v="0"/>
  </r>
  <r>
    <s v="Central America and the Caribbean"/>
    <x v="13"/>
    <s v="Snacks"/>
    <x v="1"/>
    <s v="L"/>
    <x v="22"/>
    <n v="795490682"/>
    <d v="2016-07-26T00:00:00"/>
    <n v="2225"/>
    <n v="152.58000000000001"/>
    <n v="97.44"/>
    <n v="339490.5"/>
    <n v="216804"/>
    <n v="122686.5"/>
    <x v="7"/>
    <s v="Jul"/>
    <n v="0.3614"/>
    <s v="High"/>
    <n v="26"/>
    <x v="0"/>
  </r>
  <r>
    <s v="Australia and Oceania"/>
    <x v="22"/>
    <s v="Fruits"/>
    <x v="1"/>
    <s v="H"/>
    <x v="23"/>
    <n v="142278373"/>
    <d v="2014-10-04T00:00:00"/>
    <n v="2187"/>
    <n v="9.33"/>
    <n v="6.92"/>
    <n v="20404.71"/>
    <n v="15134.04"/>
    <n v="5270.67"/>
    <x v="2"/>
    <s v="Oct"/>
    <n v="0.25829999999999997"/>
    <s v="Low"/>
    <n v="26"/>
    <x v="0"/>
  </r>
  <r>
    <s v="Europe"/>
    <x v="23"/>
    <s v="Personal Care"/>
    <x v="1"/>
    <s v="L"/>
    <x v="24"/>
    <n v="740147912"/>
    <d v="2016-05-10T00:00:00"/>
    <n v="5070"/>
    <n v="81.73"/>
    <n v="56.67"/>
    <n v="414371.1"/>
    <n v="287316.90000000002"/>
    <n v="127054.2"/>
    <x v="7"/>
    <s v="May"/>
    <n v="0.30659999999999998"/>
    <s v="High"/>
    <n v="3"/>
    <x v="1"/>
  </r>
  <r>
    <s v="Europe"/>
    <x v="24"/>
    <s v="Cosmetics"/>
    <x v="1"/>
    <s v="H"/>
    <x v="25"/>
    <n v="898523128"/>
    <d v="2017-06-05T00:00:00"/>
    <n v="1815"/>
    <n v="437.2"/>
    <n v="263.33"/>
    <n v="793518"/>
    <n v="477943.95"/>
    <n v="315574.05"/>
    <x v="6"/>
    <s v="Jun"/>
    <n v="0.3977"/>
    <s v="High"/>
    <n v="14"/>
    <x v="2"/>
  </r>
  <r>
    <s v="Australia and Oceania"/>
    <x v="25"/>
    <s v="Fruits"/>
    <x v="1"/>
    <s v="M"/>
    <x v="26"/>
    <n v="347140347"/>
    <d v="2014-11-10T00:00:00"/>
    <n v="5398"/>
    <n v="9.33"/>
    <n v="6.92"/>
    <n v="50363.34"/>
    <n v="37354.160000000003"/>
    <n v="13009.18"/>
    <x v="2"/>
    <s v="Nov"/>
    <n v="0.25829999999999997"/>
    <s v="Low"/>
    <n v="28"/>
    <x v="0"/>
  </r>
  <r>
    <s v="Sub-Saharan Africa"/>
    <x v="26"/>
    <s v="Fruits"/>
    <x v="1"/>
    <s v="L"/>
    <x v="27"/>
    <n v="686048400"/>
    <d v="2010-05-10T00:00:00"/>
    <n v="5822"/>
    <n v="9.33"/>
    <n v="6.92"/>
    <n v="54319.26"/>
    <n v="40288.239999999998"/>
    <n v="14031.02"/>
    <x v="0"/>
    <s v="May"/>
    <n v="0.25829999999999997"/>
    <s v="Low"/>
    <n v="3"/>
    <x v="1"/>
  </r>
  <r>
    <s v="Europe"/>
    <x v="20"/>
    <s v="Beverages"/>
    <x v="0"/>
    <s v="C"/>
    <x v="28"/>
    <n v="435608613"/>
    <d v="2014-07-30T00:00:00"/>
    <n v="5124"/>
    <n v="47.45"/>
    <n v="31.79"/>
    <n v="243133.8"/>
    <n v="162891.96"/>
    <n v="80241.84"/>
    <x v="2"/>
    <s v="Jul"/>
    <n v="0.33"/>
    <s v="High"/>
    <n v="12"/>
    <x v="2"/>
  </r>
  <r>
    <s v="Sub-Saharan Africa"/>
    <x v="27"/>
    <s v="Household"/>
    <x v="0"/>
    <s v="L"/>
    <x v="29"/>
    <n v="886494815"/>
    <d v="2012-06-09T00:00:00"/>
    <n v="2370"/>
    <n v="668.27"/>
    <n v="502.54"/>
    <n v="1583799.9"/>
    <n v="1191019.8"/>
    <n v="392780.1"/>
    <x v="1"/>
    <s v="Jun"/>
    <n v="0.248"/>
    <s v="High"/>
    <n v="14"/>
    <x v="2"/>
  </r>
  <r>
    <s v="Europe"/>
    <x v="28"/>
    <s v="Cosmetics"/>
    <x v="0"/>
    <s v="M"/>
    <x v="30"/>
    <n v="249693334"/>
    <d v="2012-10-20T00:00:00"/>
    <n v="8661"/>
    <n v="437.2"/>
    <n v="263.33"/>
    <n v="3786589.2"/>
    <n v="2280701.13"/>
    <n v="1505888.07"/>
    <x v="1"/>
    <s v="Oct"/>
    <n v="0.3977"/>
    <s v="High"/>
    <n v="33"/>
    <x v="0"/>
  </r>
  <r>
    <s v="Sub-Saharan Africa"/>
    <x v="29"/>
    <s v="Personal Care"/>
    <x v="0"/>
    <s v="C"/>
    <x v="31"/>
    <n v="406502997"/>
    <d v="2014-01-28T00:00:00"/>
    <n v="2125"/>
    <n v="81.73"/>
    <n v="56.67"/>
    <n v="173676.25"/>
    <n v="120423.75"/>
    <n v="53252.5"/>
    <x v="2"/>
    <s v="Jan"/>
    <n v="0.30659999999999998"/>
    <s v="High"/>
    <n v="30"/>
    <x v="0"/>
  </r>
  <r>
    <s v="Australia and Oceania"/>
    <x v="30"/>
    <s v="Office Supplies"/>
    <x v="1"/>
    <s v="C"/>
    <x v="32"/>
    <n v="158535134"/>
    <d v="2015-11-25T00:00:00"/>
    <n v="2924"/>
    <n v="651.21"/>
    <n v="524.96"/>
    <n v="1904138.04"/>
    <n v="1534983.04"/>
    <n v="369155"/>
    <x v="4"/>
    <s v="Nov"/>
    <n v="0.19389999999999999"/>
    <s v="High"/>
    <n v="29"/>
    <x v="0"/>
  </r>
  <r>
    <s v="Asia"/>
    <x v="31"/>
    <s v="Household"/>
    <x v="0"/>
    <s v="H"/>
    <x v="33"/>
    <n v="177713572"/>
    <d v="2015-03-01T00:00:00"/>
    <n v="8250"/>
    <n v="668.27"/>
    <n v="502.54"/>
    <n v="5513227.5"/>
    <n v="4145955"/>
    <n v="1367272.5"/>
    <x v="4"/>
    <s v="Mar"/>
    <n v="0.248"/>
    <s v="High"/>
    <n v="44"/>
    <x v="0"/>
  </r>
  <r>
    <s v="Sub-Saharan Africa"/>
    <x v="32"/>
    <s v="Snacks"/>
    <x v="1"/>
    <s v="M"/>
    <x v="34"/>
    <n v="756274640"/>
    <d v="2017-02-25T00:00:00"/>
    <n v="7327"/>
    <n v="152.58000000000001"/>
    <n v="97.44"/>
    <n v="1117953.6599999999"/>
    <n v="713942.88"/>
    <n v="404010.78"/>
    <x v="6"/>
    <s v="Feb"/>
    <n v="0.3614"/>
    <s v="High"/>
    <n v="0"/>
    <x v="1"/>
  </r>
  <r>
    <s v="Central America and the Caribbean"/>
    <x v="33"/>
    <s v="Personal Care"/>
    <x v="0"/>
    <s v="L"/>
    <x v="35"/>
    <n v="456767165"/>
    <d v="2017-05-21T00:00:00"/>
    <n v="6409"/>
    <n v="81.73"/>
    <n v="56.67"/>
    <n v="523807.57"/>
    <n v="363198.03"/>
    <n v="160609.54"/>
    <x v="6"/>
    <s v="May"/>
    <n v="0.30659999999999998"/>
    <s v="High"/>
    <n v="13"/>
    <x v="2"/>
  </r>
  <r>
    <s v="Middle East and North Africa"/>
    <x v="34"/>
    <s v="Fruits"/>
    <x v="1"/>
    <s v="L"/>
    <x v="36"/>
    <n v="162052476"/>
    <d v="2011-12-03T00:00:00"/>
    <n v="3784"/>
    <n v="9.33"/>
    <n v="6.92"/>
    <n v="35304.720000000001"/>
    <n v="26185.279999999999"/>
    <n v="9119.44"/>
    <x v="5"/>
    <s v="Dec"/>
    <n v="0.25829999999999997"/>
    <s v="Low"/>
    <n v="11"/>
    <x v="2"/>
  </r>
  <r>
    <s v="Sub-Saharan Africa"/>
    <x v="27"/>
    <s v="Meat"/>
    <x v="1"/>
    <s v="M"/>
    <x v="37"/>
    <n v="825304400"/>
    <d v="2017-01-23T00:00:00"/>
    <n v="4767"/>
    <n v="421.89"/>
    <n v="364.69"/>
    <n v="2011149.63"/>
    <n v="1738477.23"/>
    <n v="272672.40000000002"/>
    <x v="6"/>
    <s v="Jan"/>
    <n v="0.1356"/>
    <s v="High"/>
    <n v="9"/>
    <x v="1"/>
  </r>
  <r>
    <s v="Asia"/>
    <x v="35"/>
    <s v="Office Supplies"/>
    <x v="1"/>
    <s v="L"/>
    <x v="38"/>
    <n v="320009267"/>
    <d v="2012-05-08T00:00:00"/>
    <n v="6708"/>
    <n v="651.21"/>
    <n v="524.96"/>
    <n v="4368316.68"/>
    <n v="3521431.68"/>
    <n v="846885"/>
    <x v="1"/>
    <s v="May"/>
    <n v="0.19389999999999999"/>
    <s v="High"/>
    <n v="37"/>
    <x v="0"/>
  </r>
  <r>
    <s v="Europe"/>
    <x v="15"/>
    <s v="Office Supplies"/>
    <x v="1"/>
    <s v="M"/>
    <x v="39"/>
    <n v="189965903"/>
    <d v="2012-02-28T00:00:00"/>
    <n v="3987"/>
    <n v="651.21"/>
    <n v="524.96"/>
    <n v="2596374.27"/>
    <n v="2093015.52"/>
    <n v="503358.75"/>
    <x v="1"/>
    <s v="Feb"/>
    <n v="0.19389999999999999"/>
    <s v="High"/>
    <n v="12"/>
    <x v="2"/>
  </r>
  <r>
    <s v="Sub-Saharan Africa"/>
    <x v="36"/>
    <s v="Personal Care"/>
    <x v="1"/>
    <s v="H"/>
    <x v="40"/>
    <n v="699285638"/>
    <d v="2017-03-28T00:00:00"/>
    <n v="3015"/>
    <n v="81.73"/>
    <n v="56.67"/>
    <n v="246415.95"/>
    <n v="170860.05"/>
    <n v="75555.899999999994"/>
    <x v="6"/>
    <s v="Mar"/>
    <n v="0.30659999999999998"/>
    <s v="High"/>
    <n v="17"/>
    <x v="2"/>
  </r>
  <r>
    <s v="Middle East and North Africa"/>
    <x v="37"/>
    <s v="Cosmetics"/>
    <x v="1"/>
    <s v="M"/>
    <x v="41"/>
    <n v="382392299"/>
    <d v="2010-02-25T00:00:00"/>
    <n v="7234"/>
    <n v="437.2"/>
    <n v="263.33"/>
    <n v="3162704.8"/>
    <n v="1904929.22"/>
    <n v="1257775.58"/>
    <x v="0"/>
    <s v="Feb"/>
    <n v="0.3977"/>
    <s v="High"/>
    <n v="19"/>
    <x v="2"/>
  </r>
  <r>
    <s v="Sub-Saharan Africa"/>
    <x v="27"/>
    <s v="Cereal"/>
    <x v="0"/>
    <s v="H"/>
    <x v="42"/>
    <n v="994022214"/>
    <d v="2012-06-08T00:00:00"/>
    <n v="2117"/>
    <n v="205.7"/>
    <n v="117.11"/>
    <n v="435466.9"/>
    <n v="247921.87"/>
    <n v="187545.03"/>
    <x v="1"/>
    <s v="Jun"/>
    <n v="0.43070000000000003"/>
    <s v="High"/>
    <n v="1"/>
    <x v="1"/>
  </r>
  <r>
    <s v="Europe"/>
    <x v="38"/>
    <s v="Vegetables"/>
    <x v="1"/>
    <s v="H"/>
    <x v="43"/>
    <n v="759224212"/>
    <d v="2012-11-10T00:00:00"/>
    <n v="171"/>
    <n v="154.06"/>
    <n v="90.93"/>
    <n v="26344.26"/>
    <n v="15549.03"/>
    <n v="10795.23"/>
    <x v="1"/>
    <s v="Nov"/>
    <n v="0.4098"/>
    <s v="Low"/>
    <n v="35"/>
    <x v="0"/>
  </r>
  <r>
    <s v="Asia"/>
    <x v="31"/>
    <s v="Clothes"/>
    <x v="1"/>
    <s v="H"/>
    <x v="44"/>
    <n v="223359620"/>
    <d v="2015-11-18T00:00:00"/>
    <n v="5930"/>
    <n v="109.28"/>
    <n v="35.840000000000003"/>
    <n v="648030.4"/>
    <n v="212531.20000000001"/>
    <n v="435499.2"/>
    <x v="4"/>
    <s v="Nov"/>
    <n v="0.67200000000000004"/>
    <s v="High"/>
    <n v="4"/>
    <x v="1"/>
  </r>
  <r>
    <s v="Sub-Saharan Africa"/>
    <x v="39"/>
    <s v="Cereal"/>
    <x v="0"/>
    <s v="H"/>
    <x v="45"/>
    <n v="902102267"/>
    <d v="2016-04-29T00:00:00"/>
    <n v="962"/>
    <n v="205.7"/>
    <n v="117.11"/>
    <n v="197883.4"/>
    <n v="112659.82"/>
    <n v="85223.58"/>
    <x v="7"/>
    <s v="Apr"/>
    <n v="0.43070000000000003"/>
    <s v="High"/>
    <n v="31"/>
    <x v="0"/>
  </r>
  <r>
    <s v="Europe"/>
    <x v="40"/>
    <s v="Cosmetics"/>
    <x v="1"/>
    <s v="C"/>
    <x v="46"/>
    <n v="331438481"/>
    <d v="2016-12-31T00:00:00"/>
    <n v="8867"/>
    <n v="437.2"/>
    <n v="263.33"/>
    <n v="3876652.4"/>
    <n v="2334947.11"/>
    <n v="1541705.29"/>
    <x v="7"/>
    <s v="Dec"/>
    <n v="0.3977"/>
    <s v="High"/>
    <n v="0"/>
    <x v="1"/>
  </r>
  <r>
    <s v="Europe"/>
    <x v="28"/>
    <s v="Personal Care"/>
    <x v="1"/>
    <s v="M"/>
    <x v="47"/>
    <n v="617667090"/>
    <d v="2011-01-31T00:00:00"/>
    <n v="273"/>
    <n v="81.73"/>
    <n v="56.67"/>
    <n v="22312.29"/>
    <n v="15470.91"/>
    <n v="6841.38"/>
    <x v="5"/>
    <s v="Jan"/>
    <n v="0.30659999999999998"/>
    <s v="Low"/>
    <n v="39"/>
    <x v="0"/>
  </r>
  <r>
    <s v="Europe"/>
    <x v="41"/>
    <s v="Clothes"/>
    <x v="0"/>
    <s v="C"/>
    <x v="48"/>
    <n v="787399423"/>
    <d v="2014-11-14T00:00:00"/>
    <n v="7842"/>
    <n v="109.28"/>
    <n v="35.840000000000003"/>
    <n v="856973.76"/>
    <n v="281057.28000000003"/>
    <n v="575916.48"/>
    <x v="2"/>
    <s v="Nov"/>
    <n v="0.67200000000000004"/>
    <s v="High"/>
    <n v="31"/>
    <x v="0"/>
  </r>
  <r>
    <s v="Sub-Saharan Africa"/>
    <x v="42"/>
    <s v="Office Supplies"/>
    <x v="0"/>
    <s v="C"/>
    <x v="49"/>
    <n v="837559306"/>
    <d v="2012-01-13T00:00:00"/>
    <n v="1266"/>
    <n v="651.21"/>
    <n v="524.96"/>
    <n v="824431.86"/>
    <n v="664599.36"/>
    <n v="159832.5"/>
    <x v="1"/>
    <s v="Jan"/>
    <n v="0.19389999999999999"/>
    <s v="High"/>
    <n v="2"/>
    <x v="1"/>
  </r>
  <r>
    <s v="Europe"/>
    <x v="43"/>
    <s v="Clothes"/>
    <x v="1"/>
    <s v="C"/>
    <x v="50"/>
    <n v="385383069"/>
    <d v="2010-03-18T00:00:00"/>
    <n v="2269"/>
    <n v="109.28"/>
    <n v="35.840000000000003"/>
    <n v="247956.32"/>
    <n v="81320.960000000006"/>
    <n v="166635.35999999999"/>
    <x v="0"/>
    <s v="Mar"/>
    <n v="0.67200000000000004"/>
    <s v="High"/>
    <n v="44"/>
    <x v="0"/>
  </r>
  <r>
    <s v="Sub-Saharan Africa"/>
    <x v="44"/>
    <s v="Fruits"/>
    <x v="1"/>
    <s v="L"/>
    <x v="51"/>
    <n v="918419539"/>
    <d v="2013-09-18T00:00:00"/>
    <n v="9606"/>
    <n v="9.33"/>
    <n v="6.92"/>
    <n v="89623.98"/>
    <n v="66473.52"/>
    <n v="23150.46"/>
    <x v="3"/>
    <s v="Sep"/>
    <n v="0.25829999999999997"/>
    <s v="Medium"/>
    <n v="31"/>
    <x v="0"/>
  </r>
  <r>
    <s v="Middle East and North Africa"/>
    <x v="45"/>
    <s v="Cereal"/>
    <x v="1"/>
    <s v="M"/>
    <x v="52"/>
    <n v="844530045"/>
    <d v="2013-03-28T00:00:00"/>
    <n v="4063"/>
    <n v="205.7"/>
    <n v="117.11"/>
    <n v="835759.1"/>
    <n v="475817.93"/>
    <n v="359941.17"/>
    <x v="3"/>
    <s v="Mar"/>
    <n v="0.43070000000000003"/>
    <s v="High"/>
    <n v="3"/>
    <x v="1"/>
  </r>
  <r>
    <s v="Sub-Saharan Africa"/>
    <x v="46"/>
    <s v="Office Supplies"/>
    <x v="0"/>
    <s v="M"/>
    <x v="53"/>
    <n v="441888415"/>
    <d v="2012-01-07T00:00:00"/>
    <n v="3457"/>
    <n v="651.21"/>
    <n v="524.96"/>
    <n v="2251232.9700000002"/>
    <n v="1814786.72"/>
    <n v="436446.25"/>
    <x v="1"/>
    <s v="Jan"/>
    <n v="0.19389999999999999"/>
    <s v="High"/>
    <n v="42"/>
    <x v="0"/>
  </r>
  <r>
    <s v="Sub-Saharan Africa"/>
    <x v="3"/>
    <s v="Fruits"/>
    <x v="0"/>
    <s v="H"/>
    <x v="54"/>
    <n v="508980977"/>
    <d v="2013-10-24T00:00:00"/>
    <n v="7637"/>
    <n v="9.33"/>
    <n v="6.92"/>
    <n v="71253.210000000006"/>
    <n v="52848.04"/>
    <n v="18405.169999999998"/>
    <x v="3"/>
    <s v="Oct"/>
    <n v="0.25829999999999997"/>
    <s v="Low"/>
    <n v="37"/>
    <x v="0"/>
  </r>
  <r>
    <s v="Sub-Saharan Africa"/>
    <x v="47"/>
    <s v="Clothes"/>
    <x v="1"/>
    <s v="C"/>
    <x v="55"/>
    <n v="114606559"/>
    <d v="2012-06-27T00:00:00"/>
    <n v="3482"/>
    <n v="109.28"/>
    <n v="35.840000000000003"/>
    <n v="380512.96"/>
    <n v="124794.88"/>
    <n v="255718.08"/>
    <x v="1"/>
    <s v="Jun"/>
    <n v="0.67200000000000004"/>
    <s v="High"/>
    <n v="19"/>
    <x v="2"/>
  </r>
  <r>
    <s v="Australia and Oceania"/>
    <x v="48"/>
    <s v="Clothes"/>
    <x v="0"/>
    <s v="C"/>
    <x v="56"/>
    <n v="647876489"/>
    <d v="2010-08-01T00:00:00"/>
    <n v="9905"/>
    <n v="109.28"/>
    <n v="35.840000000000003"/>
    <n v="1082418.3999999999"/>
    <n v="354995.20000000001"/>
    <n v="727423.2"/>
    <x v="0"/>
    <s v="Aug"/>
    <n v="0.67200000000000004"/>
    <s v="High"/>
    <n v="32"/>
    <x v="0"/>
  </r>
  <r>
    <s v="Europe"/>
    <x v="49"/>
    <s v="Cosmetics"/>
    <x v="0"/>
    <s v="H"/>
    <x v="57"/>
    <n v="868214595"/>
    <d v="2015-03-02T00:00:00"/>
    <n v="2847"/>
    <n v="437.2"/>
    <n v="263.33"/>
    <n v="1244708.3999999999"/>
    <n v="749700.51"/>
    <n v="495007.89"/>
    <x v="4"/>
    <s v="Mar"/>
    <n v="0.3977"/>
    <s v="High"/>
    <n v="7"/>
    <x v="1"/>
  </r>
  <r>
    <s v="Europe"/>
    <x v="50"/>
    <s v="Household"/>
    <x v="1"/>
    <s v="L"/>
    <x v="58"/>
    <n v="955357205"/>
    <d v="2012-02-14T00:00:00"/>
    <n v="282"/>
    <n v="668.27"/>
    <n v="502.54"/>
    <n v="188452.14"/>
    <n v="141716.28"/>
    <n v="46735.86"/>
    <x v="1"/>
    <s v="Feb"/>
    <n v="0.248"/>
    <s v="Medium"/>
    <n v="40"/>
    <x v="0"/>
  </r>
  <r>
    <s v="Sub-Saharan Africa"/>
    <x v="32"/>
    <s v="Cosmetics"/>
    <x v="0"/>
    <s v="H"/>
    <x v="59"/>
    <n v="259353148"/>
    <d v="2014-04-19T00:00:00"/>
    <n v="7215"/>
    <n v="437.2"/>
    <n v="263.33"/>
    <n v="3154398"/>
    <n v="1899925.95"/>
    <n v="1254472.05"/>
    <x v="2"/>
    <s v="Apr"/>
    <n v="0.3977"/>
    <s v="High"/>
    <n v="12"/>
    <x v="2"/>
  </r>
  <r>
    <s v="Australia and Oceania"/>
    <x v="30"/>
    <s v="Cereal"/>
    <x v="0"/>
    <s v="H"/>
    <x v="60"/>
    <n v="450563752"/>
    <d v="2013-07-02T00:00:00"/>
    <n v="682"/>
    <n v="205.7"/>
    <n v="117.11"/>
    <n v="140287.4"/>
    <n v="79869.02"/>
    <n v="60418.38"/>
    <x v="3"/>
    <s v="Jul"/>
    <n v="0.43070000000000003"/>
    <s v="High"/>
    <n v="23"/>
    <x v="0"/>
  </r>
  <r>
    <s v="Europe"/>
    <x v="51"/>
    <s v="Baby Food"/>
    <x v="1"/>
    <s v="L"/>
    <x v="61"/>
    <n v="569662845"/>
    <d v="2013-07-01T00:00:00"/>
    <n v="4750"/>
    <n v="255.28"/>
    <n v="159.41999999999999"/>
    <n v="1212580"/>
    <n v="757245"/>
    <n v="455335"/>
    <x v="3"/>
    <s v="Jul"/>
    <n v="0.3755"/>
    <s v="High"/>
    <n v="5"/>
    <x v="1"/>
  </r>
  <r>
    <s v="Sub-Saharan Africa"/>
    <x v="17"/>
    <s v="Office Supplies"/>
    <x v="1"/>
    <s v="M"/>
    <x v="62"/>
    <n v="177636754"/>
    <d v="2011-11-15T00:00:00"/>
    <n v="5518"/>
    <n v="651.21"/>
    <n v="524.96"/>
    <n v="3593376.78"/>
    <n v="2896729.28"/>
    <n v="696647.5"/>
    <x v="5"/>
    <s v="Nov"/>
    <n v="0.19389999999999999"/>
    <s v="High"/>
    <n v="8"/>
    <x v="1"/>
  </r>
  <r>
    <s v="Middle East and North Africa"/>
    <x v="52"/>
    <s v="Clothes"/>
    <x v="0"/>
    <s v="H"/>
    <x v="63"/>
    <n v="705784308"/>
    <d v="2010-11-17T00:00:00"/>
    <n v="6116"/>
    <n v="109.28"/>
    <n v="35.840000000000003"/>
    <n v="668356.48"/>
    <n v="219197.44"/>
    <n v="449159.04"/>
    <x v="0"/>
    <s v="Nov"/>
    <n v="0.67200000000000004"/>
    <s v="High"/>
    <n v="18"/>
    <x v="2"/>
  </r>
  <r>
    <s v="Central America and the Caribbean"/>
    <x v="53"/>
    <s v="Cosmetics"/>
    <x v="0"/>
    <s v="H"/>
    <x v="64"/>
    <n v="505716836"/>
    <d v="2013-11-16T00:00:00"/>
    <n v="1705"/>
    <n v="437.2"/>
    <n v="263.33"/>
    <n v="745426"/>
    <n v="448977.65"/>
    <n v="296448.34999999998"/>
    <x v="3"/>
    <s v="Nov"/>
    <n v="0.3977"/>
    <s v="High"/>
    <n v="34"/>
    <x v="0"/>
  </r>
  <r>
    <s v="Sub-Saharan Africa"/>
    <x v="4"/>
    <s v="Cosmetics"/>
    <x v="0"/>
    <s v="H"/>
    <x v="65"/>
    <n v="699358165"/>
    <d v="2013-11-25T00:00:00"/>
    <n v="4477"/>
    <n v="437.2"/>
    <n v="263.33"/>
    <n v="1957344.4"/>
    <n v="1178928.4099999999"/>
    <n v="778415.99"/>
    <x v="3"/>
    <s v="Nov"/>
    <n v="0.3977"/>
    <s v="High"/>
    <n v="45"/>
    <x v="0"/>
  </r>
  <r>
    <s v="Sub-Saharan Africa"/>
    <x v="54"/>
    <s v="Personal Care"/>
    <x v="0"/>
    <s v="L"/>
    <x v="66"/>
    <n v="228944623"/>
    <d v="2012-07-09T00:00:00"/>
    <n v="8656"/>
    <n v="81.73"/>
    <n v="56.67"/>
    <n v="707454.88"/>
    <n v="490535.52"/>
    <n v="216919.36"/>
    <x v="1"/>
    <s v="Jul"/>
    <n v="0.30659999999999998"/>
    <s v="High"/>
    <n v="1"/>
    <x v="1"/>
  </r>
  <r>
    <s v="Central America and the Caribbean"/>
    <x v="55"/>
    <s v="Clothes"/>
    <x v="0"/>
    <s v="M"/>
    <x v="67"/>
    <n v="807025039"/>
    <d v="2016-09-07T00:00:00"/>
    <n v="5498"/>
    <n v="109.28"/>
    <n v="35.840000000000003"/>
    <n v="600821.43999999994"/>
    <n v="197048.32000000001"/>
    <n v="403773.12"/>
    <x v="7"/>
    <s v="Sep"/>
    <n v="0.67200000000000004"/>
    <s v="High"/>
    <n v="44"/>
    <x v="0"/>
  </r>
  <r>
    <s v="Europe"/>
    <x v="56"/>
    <s v="Office Supplies"/>
    <x v="0"/>
    <s v="H"/>
    <x v="68"/>
    <n v="166460740"/>
    <d v="2010-11-17T00:00:00"/>
    <n v="8287"/>
    <n v="651.21"/>
    <n v="524.96"/>
    <n v="5396577.2699999996"/>
    <n v="4350343.5199999996"/>
    <n v="1046233.75"/>
    <x v="0"/>
    <s v="Nov"/>
    <n v="0.19389999999999999"/>
    <s v="High"/>
    <n v="24"/>
    <x v="0"/>
  </r>
  <r>
    <s v="Sub-Saharan Africa"/>
    <x v="57"/>
    <s v="Clothes"/>
    <x v="0"/>
    <s v="L"/>
    <x v="69"/>
    <n v="610425555"/>
    <d v="2015-05-28T00:00:00"/>
    <n v="7342"/>
    <n v="109.28"/>
    <n v="35.840000000000003"/>
    <n v="802333.76"/>
    <n v="263137.28000000003"/>
    <n v="539196.48"/>
    <x v="4"/>
    <s v="May"/>
    <n v="0.67200000000000004"/>
    <s v="High"/>
    <n v="33"/>
    <x v="0"/>
  </r>
  <r>
    <s v="Asia"/>
    <x v="18"/>
    <s v="Office Supplies"/>
    <x v="1"/>
    <s v="M"/>
    <x v="70"/>
    <n v="462405812"/>
    <d v="2013-05-20T00:00:00"/>
    <n v="5010"/>
    <n v="651.21"/>
    <n v="524.96"/>
    <n v="3262562.1"/>
    <n v="2630049.6"/>
    <n v="632512.5"/>
    <x v="3"/>
    <s v="May"/>
    <n v="0.19389999999999999"/>
    <s v="High"/>
    <n v="27"/>
    <x v="0"/>
  </r>
  <r>
    <s v="Middle East and North Africa"/>
    <x v="52"/>
    <s v="Fruits"/>
    <x v="1"/>
    <s v="L"/>
    <x v="71"/>
    <n v="816200339"/>
    <d v="2015-09-30T00:00:00"/>
    <n v="673"/>
    <n v="9.33"/>
    <n v="6.92"/>
    <n v="6279.09"/>
    <n v="4657.16"/>
    <n v="1621.93"/>
    <x v="4"/>
    <s v="Sep"/>
    <n v="0.25829999999999997"/>
    <s v="Low"/>
    <n v="47"/>
    <x v="0"/>
  </r>
  <r>
    <s v="Sub-Saharan Africa"/>
    <x v="58"/>
    <s v="Beverages"/>
    <x v="1"/>
    <s v="C"/>
    <x v="72"/>
    <n v="585920464"/>
    <d v="2011-07-15T00:00:00"/>
    <n v="5741"/>
    <n v="47.45"/>
    <n v="31.79"/>
    <n v="272410.45"/>
    <n v="182506.39"/>
    <n v="89904.06"/>
    <x v="5"/>
    <s v="Jul"/>
    <n v="0.33"/>
    <s v="High"/>
    <n v="50"/>
    <x v="0"/>
  </r>
  <r>
    <s v="Sub-Saharan Africa"/>
    <x v="32"/>
    <s v="Cereal"/>
    <x v="1"/>
    <s v="H"/>
    <x v="73"/>
    <n v="555990016"/>
    <d v="2017-06-17T00:00:00"/>
    <n v="8656"/>
    <n v="205.7"/>
    <n v="117.11"/>
    <n v="1780539.2"/>
    <n v="1013704.16"/>
    <n v="766835.04"/>
    <x v="6"/>
    <s v="Jun"/>
    <n v="0.43070000000000003"/>
    <s v="High"/>
    <n v="28"/>
    <x v="0"/>
  </r>
  <r>
    <s v="Middle East and North Africa"/>
    <x v="59"/>
    <s v="Cosmetics"/>
    <x v="0"/>
    <s v="L"/>
    <x v="74"/>
    <n v="231145322"/>
    <d v="2013-08-16T00:00:00"/>
    <n v="9892"/>
    <n v="437.2"/>
    <n v="263.33"/>
    <n v="4324782.4000000004"/>
    <n v="2604860.36"/>
    <n v="1719922.04"/>
    <x v="3"/>
    <s v="Aug"/>
    <n v="0.3977"/>
    <s v="High"/>
    <n v="42"/>
    <x v="0"/>
  </r>
  <r>
    <s v="North America"/>
    <x v="60"/>
    <s v="Household"/>
    <x v="0"/>
    <s v="C"/>
    <x v="75"/>
    <n v="986435210"/>
    <d v="2014-12-12T00:00:00"/>
    <n v="6954"/>
    <n v="668.27"/>
    <n v="502.54"/>
    <n v="4647149.58"/>
    <n v="3494663.16"/>
    <n v="1152486.42"/>
    <x v="2"/>
    <s v="Dec"/>
    <n v="0.248"/>
    <s v="High"/>
    <n v="36"/>
    <x v="0"/>
  </r>
  <r>
    <s v="Australia and Oceania"/>
    <x v="61"/>
    <s v="Beverages"/>
    <x v="1"/>
    <s v="C"/>
    <x v="76"/>
    <n v="217221009"/>
    <d v="2014-11-15T00:00:00"/>
    <n v="9379"/>
    <n v="47.45"/>
    <n v="31.79"/>
    <n v="445033.55"/>
    <n v="298158.40999999997"/>
    <n v="146875.14000000001"/>
    <x v="2"/>
    <s v="Nov"/>
    <n v="0.33"/>
    <s v="High"/>
    <n v="18"/>
    <x v="2"/>
  </r>
  <r>
    <s v="Asia"/>
    <x v="62"/>
    <s v="Vegetables"/>
    <x v="0"/>
    <s v="C"/>
    <x v="77"/>
    <n v="789176547"/>
    <d v="2011-10-23T00:00:00"/>
    <n v="3732"/>
    <n v="154.06"/>
    <n v="90.93"/>
    <n v="574951.92000000004"/>
    <n v="339350.76"/>
    <n v="235601.16"/>
    <x v="5"/>
    <s v="Oct"/>
    <n v="0.4098"/>
    <s v="High"/>
    <n v="38"/>
    <x v="0"/>
  </r>
  <r>
    <s v="Europe"/>
    <x v="63"/>
    <s v="Baby Food"/>
    <x v="0"/>
    <s v="H"/>
    <x v="78"/>
    <n v="688288152"/>
    <d v="2012-06-02T00:00:00"/>
    <n v="8614"/>
    <n v="255.28"/>
    <n v="159.41999999999999"/>
    <n v="2198981.92"/>
    <n v="1373243.88"/>
    <n v="825738.04"/>
    <x v="1"/>
    <s v="Jun"/>
    <n v="0.3755"/>
    <s v="High"/>
    <n v="4"/>
    <x v="1"/>
  </r>
  <r>
    <s v="Australia and Oceania"/>
    <x v="64"/>
    <s v="Cosmetics"/>
    <x v="1"/>
    <s v="H"/>
    <x v="79"/>
    <n v="670854651"/>
    <d v="2013-08-07T00:00:00"/>
    <n v="9654"/>
    <n v="437.2"/>
    <n v="263.33"/>
    <n v="4220728.8"/>
    <n v="2542187.8199999998"/>
    <n v="1678540.98"/>
    <x v="3"/>
    <s v="Aug"/>
    <n v="0.3977"/>
    <s v="High"/>
    <n v="18"/>
    <x v="2"/>
  </r>
  <r>
    <s v="Europe"/>
    <x v="65"/>
    <s v="Household"/>
    <x v="0"/>
    <s v="L"/>
    <x v="80"/>
    <n v="213487374"/>
    <d v="2012-11-30T00:00:00"/>
    <n v="4513"/>
    <n v="668.27"/>
    <n v="502.54"/>
    <n v="3015902.51"/>
    <n v="2267963.02"/>
    <n v="747939.49"/>
    <x v="1"/>
    <s v="Nov"/>
    <n v="0.248"/>
    <s v="High"/>
    <n v="40"/>
    <x v="0"/>
  </r>
  <r>
    <s v="Middle East and North Africa"/>
    <x v="66"/>
    <s v="Clothes"/>
    <x v="1"/>
    <s v="L"/>
    <x v="81"/>
    <n v="663110148"/>
    <d v="2012-10-08T00:00:00"/>
    <n v="7884"/>
    <n v="109.28"/>
    <n v="35.840000000000003"/>
    <n v="861563.52"/>
    <n v="282562.56"/>
    <n v="579000.96"/>
    <x v="1"/>
    <s v="Oct"/>
    <n v="0.67200000000000004"/>
    <s v="High"/>
    <n v="20"/>
    <x v="2"/>
  </r>
  <r>
    <s v="Middle East and North Africa"/>
    <x v="67"/>
    <s v="Cosmetics"/>
    <x v="1"/>
    <s v="H"/>
    <x v="82"/>
    <n v="286959302"/>
    <d v="2016-12-08T00:00:00"/>
    <n v="6489"/>
    <n v="437.2"/>
    <n v="263.33"/>
    <n v="2836990.8"/>
    <n v="1708748.37"/>
    <n v="1128242.43"/>
    <x v="7"/>
    <s v="Dec"/>
    <n v="0.3977"/>
    <s v="High"/>
    <n v="23"/>
    <x v="0"/>
  </r>
  <r>
    <s v="Sub-Saharan Africa"/>
    <x v="68"/>
    <s v="Snacks"/>
    <x v="1"/>
    <s v="L"/>
    <x v="83"/>
    <n v="122583663"/>
    <d v="2011-01-05T00:00:00"/>
    <n v="4085"/>
    <n v="152.58000000000001"/>
    <n v="97.44"/>
    <n v="623289.30000000005"/>
    <n v="398042.4"/>
    <n v="225246.9"/>
    <x v="5"/>
    <s v="Jan"/>
    <n v="0.3614"/>
    <s v="High"/>
    <n v="1"/>
    <x v="1"/>
  </r>
  <r>
    <s v="Sub-Saharan Africa"/>
    <x v="69"/>
    <s v="Vegetables"/>
    <x v="1"/>
    <s v="L"/>
    <x v="84"/>
    <n v="827844560"/>
    <d v="2012-04-07T00:00:00"/>
    <n v="6457"/>
    <n v="154.06"/>
    <n v="90.93"/>
    <n v="994765.42"/>
    <n v="587135.01"/>
    <n v="407630.41"/>
    <x v="1"/>
    <s v="Apr"/>
    <n v="0.4098"/>
    <s v="High"/>
    <n v="20"/>
    <x v="2"/>
  </r>
  <r>
    <s v="North America"/>
    <x v="60"/>
    <s v="Personal Care"/>
    <x v="0"/>
    <s v="L"/>
    <x v="85"/>
    <n v="430915820"/>
    <d v="2012-03-20T00:00:00"/>
    <n v="6422"/>
    <n v="81.73"/>
    <n v="56.67"/>
    <n v="524870.06000000006"/>
    <n v="363934.74"/>
    <n v="160935.32"/>
    <x v="1"/>
    <s v="Mar"/>
    <n v="0.30659999999999998"/>
    <s v="High"/>
    <n v="32"/>
    <x v="0"/>
  </r>
  <r>
    <s v="Sub-Saharan Africa"/>
    <x v="3"/>
    <s v="Beverages"/>
    <x v="0"/>
    <s v="C"/>
    <x v="86"/>
    <n v="180283772"/>
    <d v="2011-01-21T00:00:00"/>
    <n v="8829"/>
    <n v="47.45"/>
    <n v="31.79"/>
    <n v="418936.05"/>
    <n v="280673.90999999997"/>
    <n v="138262.14000000001"/>
    <x v="5"/>
    <s v="Jan"/>
    <n v="0.33"/>
    <s v="High"/>
    <n v="5"/>
    <x v="1"/>
  </r>
  <r>
    <s v="Sub-Saharan Africa"/>
    <x v="27"/>
    <s v="Baby Food"/>
    <x v="0"/>
    <s v="M"/>
    <x v="87"/>
    <n v="494747245"/>
    <d v="2014-03-20T00:00:00"/>
    <n v="5559"/>
    <n v="255.28"/>
    <n v="159.41999999999999"/>
    <n v="1419101.52"/>
    <n v="886215.78"/>
    <n v="532885.74"/>
    <x v="2"/>
    <s v="Mar"/>
    <n v="0.3755"/>
    <s v="High"/>
    <n v="45"/>
    <x v="0"/>
  </r>
  <r>
    <s v="Middle East and North Africa"/>
    <x v="70"/>
    <s v="Fruits"/>
    <x v="1"/>
    <s v="M"/>
    <x v="88"/>
    <n v="513417565"/>
    <d v="2012-05-18T00:00:00"/>
    <n v="522"/>
    <n v="9.33"/>
    <n v="6.92"/>
    <n v="4870.26"/>
    <n v="3612.24"/>
    <n v="1258.02"/>
    <x v="1"/>
    <s v="May"/>
    <n v="0.25829999999999997"/>
    <s v="Low"/>
    <n v="18"/>
    <x v="2"/>
  </r>
  <r>
    <s v="Europe"/>
    <x v="71"/>
    <s v="Beverages"/>
    <x v="0"/>
    <s v="C"/>
    <x v="89"/>
    <n v="345718562"/>
    <d v="2016-11-25T00:00:00"/>
    <n v="4660"/>
    <n v="47.45"/>
    <n v="31.79"/>
    <n v="221117"/>
    <n v="148141.4"/>
    <n v="72975.600000000006"/>
    <x v="7"/>
    <s v="Nov"/>
    <n v="0.33"/>
    <s v="High"/>
    <n v="33"/>
    <x v="0"/>
  </r>
  <r>
    <s v="Sub-Saharan Africa"/>
    <x v="46"/>
    <s v="Office Supplies"/>
    <x v="0"/>
    <s v="H"/>
    <x v="90"/>
    <n v="621386563"/>
    <d v="2016-12-14T00:00:00"/>
    <n v="948"/>
    <n v="651.21"/>
    <n v="524.96"/>
    <n v="617347.07999999996"/>
    <n v="497662.08"/>
    <n v="119685"/>
    <x v="7"/>
    <s v="Dec"/>
    <n v="0.19389999999999999"/>
    <s v="High"/>
    <n v="8"/>
    <x v="1"/>
  </r>
  <r>
    <s v="Australia and Oceania"/>
    <x v="30"/>
    <s v="Beverages"/>
    <x v="0"/>
    <s v="H"/>
    <x v="91"/>
    <n v="240470397"/>
    <d v="2014-07-11T00:00:00"/>
    <n v="9389"/>
    <n v="47.45"/>
    <n v="31.79"/>
    <n v="445508.05"/>
    <n v="298476.31"/>
    <n v="147031.74"/>
    <x v="2"/>
    <s v="Jul"/>
    <n v="0.33"/>
    <s v="High"/>
    <n v="4"/>
    <x v="1"/>
  </r>
  <r>
    <s v="Middle East and North Africa"/>
    <x v="37"/>
    <s v="Office Supplies"/>
    <x v="1"/>
    <s v="M"/>
    <x v="92"/>
    <n v="423331391"/>
    <d v="2012-07-24T00:00:00"/>
    <n v="2021"/>
    <n v="651.21"/>
    <n v="524.96"/>
    <n v="1316095.4099999999"/>
    <n v="1060944.1599999999"/>
    <n v="255151.25"/>
    <x v="1"/>
    <s v="Jul"/>
    <n v="0.19389999999999999"/>
    <s v="High"/>
    <n v="41"/>
    <x v="0"/>
  </r>
  <r>
    <s v="Europe"/>
    <x v="72"/>
    <s v="Cosmetics"/>
    <x v="1"/>
    <s v="H"/>
    <x v="93"/>
    <n v="660643374"/>
    <d v="2010-12-25T00:00:00"/>
    <n v="7910"/>
    <n v="437.2"/>
    <n v="263.33"/>
    <n v="3458252"/>
    <n v="2082940.3"/>
    <n v="1375311.7"/>
    <x v="0"/>
    <s v="Dec"/>
    <n v="0.3977"/>
    <s v="High"/>
    <n v="29"/>
    <x v="0"/>
  </r>
  <r>
    <s v="Central America and the Caribbean"/>
    <x v="73"/>
    <s v="Beverages"/>
    <x v="0"/>
    <s v="C"/>
    <x v="94"/>
    <n v="963392674"/>
    <d v="2011-03-21T00:00:00"/>
    <n v="8156"/>
    <n v="47.45"/>
    <n v="31.79"/>
    <n v="387002.2"/>
    <n v="259279.24"/>
    <n v="127722.96"/>
    <x v="5"/>
    <s v="Mar"/>
    <n v="0.33"/>
    <s v="High"/>
    <n v="41"/>
    <x v="0"/>
  </r>
  <r>
    <s v="Sub-Saharan Africa"/>
    <x v="26"/>
    <s v="Clothes"/>
    <x v="1"/>
    <s v="M"/>
    <x v="95"/>
    <n v="512878119"/>
    <d v="2011-09-03T00:00:00"/>
    <n v="888"/>
    <n v="109.28"/>
    <n v="35.840000000000003"/>
    <n v="97040.639999999999"/>
    <n v="31825.919999999998"/>
    <n v="65214.720000000001"/>
    <x v="5"/>
    <s v="Sep"/>
    <n v="0.67200000000000004"/>
    <s v="High"/>
    <n v="39"/>
    <x v="0"/>
  </r>
  <r>
    <s v="Asia"/>
    <x v="74"/>
    <s v="Fruits"/>
    <x v="0"/>
    <s v="L"/>
    <x v="96"/>
    <n v="810711038"/>
    <d v="2011-12-28T00:00:00"/>
    <n v="6267"/>
    <n v="9.33"/>
    <n v="6.92"/>
    <n v="58471.11"/>
    <n v="43367.64"/>
    <n v="15103.47"/>
    <x v="5"/>
    <s v="Dec"/>
    <n v="0.25829999999999997"/>
    <s v="Low"/>
    <n v="47"/>
    <x v="0"/>
  </r>
  <r>
    <s v="Sub-Saharan Africa"/>
    <x v="46"/>
    <s v="Vegetables"/>
    <x v="0"/>
    <s v="C"/>
    <x v="97"/>
    <n v="728815257"/>
    <d v="2016-06-29T00:00:00"/>
    <n v="1485"/>
    <n v="154.06"/>
    <n v="90.93"/>
    <n v="228779.1"/>
    <n v="135031.04999999999"/>
    <n v="93748.05"/>
    <x v="7"/>
    <s v="Jun"/>
    <n v="0.4098"/>
    <s v="High"/>
    <n v="28"/>
    <x v="0"/>
  </r>
  <r>
    <s v="North America"/>
    <x v="60"/>
    <s v="Personal Care"/>
    <x v="0"/>
    <s v="M"/>
    <x v="98"/>
    <n v="559427106"/>
    <d v="2015-08-08T00:00:00"/>
    <n v="5767"/>
    <n v="81.73"/>
    <n v="56.67"/>
    <n v="471336.91"/>
    <n v="326815.89"/>
    <n v="144521.01999999999"/>
    <x v="4"/>
    <s v="Aug"/>
    <n v="0.30659999999999998"/>
    <s v="High"/>
    <n v="9"/>
    <x v="1"/>
  </r>
  <r>
    <s v="Sub-Saharan Africa"/>
    <x v="75"/>
    <s v="Household"/>
    <x v="0"/>
    <s v="L"/>
    <x v="99"/>
    <n v="665095412"/>
    <d v="2012-02-15T00:00:00"/>
    <n v="5367"/>
    <n v="668.27"/>
    <n v="502.54"/>
    <n v="3586605.09"/>
    <n v="2697132.18"/>
    <n v="889472.91"/>
    <x v="1"/>
    <s v="Feb"/>
    <n v="0.248"/>
    <s v="High"/>
    <n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71E4B5-D2E8-4127-AFAB-9D24FF51746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G78" firstHeaderRow="1" firstDataRow="1" firstDataCol="1"/>
  <pivotFields count="23">
    <pivotField showAll="0"/>
    <pivotField axis="axisRow"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pivotField showAll="0">
      <items count="3">
        <item x="0"/>
        <item x="1"/>
        <item t="default"/>
      </items>
    </pivotField>
    <pivotField showAll="0"/>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showAll="0"/>
    <pivotField numFmtId="14" showAll="0"/>
    <pivotField showAll="0"/>
    <pivotField showAll="0"/>
    <pivotField showAll="0"/>
    <pivotField showAll="0"/>
    <pivotField showAll="0"/>
    <pivotField dataField="1" showAll="0"/>
    <pivotField showAll="0">
      <items count="9">
        <item x="0"/>
        <item x="5"/>
        <item x="1"/>
        <item x="3"/>
        <item x="2"/>
        <item x="4"/>
        <item x="7"/>
        <item x="6"/>
        <item t="default"/>
      </items>
    </pivotField>
    <pivotField showAll="0"/>
    <pivotField numFmtId="10" showAll="0"/>
    <pivotField showAll="0"/>
    <pivotField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
  </rowFields>
  <rowItems count="7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t="grand">
      <x/>
    </i>
  </rowItems>
  <colItems count="1">
    <i/>
  </colItems>
  <dataFields count="1">
    <dataField name="Sum of Total Profit" fld="1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8F56AF-EA70-4A4B-BE79-5E44A171F6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6" firstHeaderRow="0" firstDataRow="1" firstDataCol="1"/>
  <pivotFields count="23">
    <pivotField showAll="0"/>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pivotField axis="axisRow" showAll="0">
      <items count="3">
        <item x="0"/>
        <item x="1"/>
        <item t="default"/>
      </items>
    </pivotField>
    <pivotField showAll="0"/>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showAll="0"/>
    <pivotField numFmtId="14" showAll="0"/>
    <pivotField showAll="0"/>
    <pivotField showAll="0"/>
    <pivotField showAll="0"/>
    <pivotField dataField="1" showAll="0"/>
    <pivotField showAll="0"/>
    <pivotField dataField="1" showAll="0"/>
    <pivotField showAll="0">
      <items count="9">
        <item x="0"/>
        <item x="5"/>
        <item x="1"/>
        <item x="3"/>
        <item x="2"/>
        <item x="4"/>
        <item x="7"/>
        <item x="6"/>
        <item t="default"/>
      </items>
    </pivotField>
    <pivotField showAll="0"/>
    <pivotField numFmtId="10" showAll="0"/>
    <pivotField showAll="0"/>
    <pivotField showAll="0"/>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3"/>
  </rowFields>
  <rowItems count="3">
    <i>
      <x/>
    </i>
    <i>
      <x v="1"/>
    </i>
    <i t="grand">
      <x/>
    </i>
  </rowItems>
  <colFields count="1">
    <field x="-2"/>
  </colFields>
  <colItems count="2">
    <i>
      <x/>
    </i>
    <i i="1">
      <x v="1"/>
    </i>
  </colItems>
  <dataFields count="2">
    <dataField name="Sum of Total Profit" fld="13" baseField="0" baseItem="0"/>
    <dataField name="Sum of Total Revenue" fld="11"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A942EE-5D65-4D53-8D07-8EC6A4F0EC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3:P101" firstHeaderRow="1" firstDataRow="1" firstDataCol="1"/>
  <pivotFields count="23">
    <pivotField showAll="0"/>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pivotField showAll="0">
      <items count="3">
        <item x="0"/>
        <item x="1"/>
        <item t="default"/>
      </items>
    </pivotField>
    <pivotField showAll="0"/>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showAll="0"/>
    <pivotField numFmtId="14" showAll="0"/>
    <pivotField showAll="0"/>
    <pivotField showAll="0"/>
    <pivotField showAll="0"/>
    <pivotField dataField="1" showAll="0"/>
    <pivotField showAll="0"/>
    <pivotField showAll="0"/>
    <pivotField showAll="0">
      <items count="9">
        <item x="0"/>
        <item x="5"/>
        <item x="1"/>
        <item x="3"/>
        <item x="2"/>
        <item x="4"/>
        <item x="7"/>
        <item x="6"/>
        <item t="default"/>
      </items>
    </pivotField>
    <pivotField showAll="0"/>
    <pivotField numFmtId="10" showAll="0"/>
    <pivotField showAll="0"/>
    <pivotField showAll="0"/>
    <pivotField showAll="0">
      <items count="4">
        <item x="1"/>
        <item x="0"/>
        <item x="2"/>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11">
        <item x="0"/>
        <item x="1"/>
        <item x="2"/>
        <item x="3"/>
        <item x="4"/>
        <item x="5"/>
        <item x="6"/>
        <item x="7"/>
        <item x="8"/>
        <item x="9"/>
        <item t="default"/>
      </items>
    </pivotField>
  </pivotFields>
  <rowFields count="3">
    <field x="22"/>
    <field x="21"/>
    <field x="20"/>
  </rowFields>
  <rowItems count="98">
    <i>
      <x v="1"/>
    </i>
    <i r="1">
      <x v="1"/>
    </i>
    <i r="2">
      <x v="2"/>
    </i>
    <i r="1">
      <x v="2"/>
    </i>
    <i r="2">
      <x v="5"/>
    </i>
    <i r="2">
      <x v="6"/>
    </i>
    <i r="1">
      <x v="4"/>
    </i>
    <i r="2">
      <x v="10"/>
    </i>
    <i r="2">
      <x v="11"/>
    </i>
    <i r="2">
      <x v="12"/>
    </i>
    <i>
      <x v="2"/>
    </i>
    <i r="1">
      <x v="1"/>
    </i>
    <i r="2">
      <x v="1"/>
    </i>
    <i r="2">
      <x v="2"/>
    </i>
    <i r="1">
      <x v="2"/>
    </i>
    <i r="2">
      <x v="4"/>
    </i>
    <i r="2">
      <x v="5"/>
    </i>
    <i r="2">
      <x v="6"/>
    </i>
    <i r="1">
      <x v="3"/>
    </i>
    <i r="2">
      <x v="7"/>
    </i>
    <i r="2">
      <x v="9"/>
    </i>
    <i r="1">
      <x v="4"/>
    </i>
    <i r="2">
      <x v="11"/>
    </i>
    <i>
      <x v="3"/>
    </i>
    <i r="1">
      <x v="1"/>
    </i>
    <i r="2">
      <x v="1"/>
    </i>
    <i r="2">
      <x v="2"/>
    </i>
    <i r="2">
      <x v="3"/>
    </i>
    <i r="1">
      <x v="2"/>
    </i>
    <i r="2">
      <x v="4"/>
    </i>
    <i r="2">
      <x v="5"/>
    </i>
    <i r="2">
      <x v="6"/>
    </i>
    <i r="1">
      <x v="3"/>
    </i>
    <i r="2">
      <x v="7"/>
    </i>
    <i r="2">
      <x v="8"/>
    </i>
    <i r="2">
      <x v="9"/>
    </i>
    <i r="1">
      <x v="4"/>
    </i>
    <i r="2">
      <x v="10"/>
    </i>
    <i>
      <x v="4"/>
    </i>
    <i r="1">
      <x v="1"/>
    </i>
    <i r="2">
      <x v="2"/>
    </i>
    <i r="2">
      <x v="3"/>
    </i>
    <i r="1">
      <x v="2"/>
    </i>
    <i r="2">
      <x v="4"/>
    </i>
    <i r="2">
      <x v="6"/>
    </i>
    <i r="1">
      <x v="3"/>
    </i>
    <i r="2">
      <x v="7"/>
    </i>
    <i r="2">
      <x v="8"/>
    </i>
    <i r="2">
      <x v="9"/>
    </i>
    <i r="1">
      <x v="4"/>
    </i>
    <i r="2">
      <x v="10"/>
    </i>
    <i r="2">
      <x v="12"/>
    </i>
    <i>
      <x v="5"/>
    </i>
    <i r="1">
      <x v="1"/>
    </i>
    <i r="2">
      <x v="2"/>
    </i>
    <i r="1">
      <x v="2"/>
    </i>
    <i r="2">
      <x v="4"/>
    </i>
    <i r="2">
      <x v="5"/>
    </i>
    <i r="2">
      <x v="6"/>
    </i>
    <i r="1">
      <x v="3"/>
    </i>
    <i r="2">
      <x v="7"/>
    </i>
    <i r="2">
      <x v="8"/>
    </i>
    <i r="2">
      <x v="9"/>
    </i>
    <i r="1">
      <x v="4"/>
    </i>
    <i r="2">
      <x v="10"/>
    </i>
    <i r="2">
      <x v="11"/>
    </i>
    <i>
      <x v="6"/>
    </i>
    <i r="1">
      <x v="1"/>
    </i>
    <i r="2">
      <x v="1"/>
    </i>
    <i r="2">
      <x v="2"/>
    </i>
    <i r="1">
      <x v="2"/>
    </i>
    <i r="2">
      <x v="4"/>
    </i>
    <i r="1">
      <x v="3"/>
    </i>
    <i r="2">
      <x v="7"/>
    </i>
    <i r="2">
      <x v="8"/>
    </i>
    <i r="1">
      <x v="4"/>
    </i>
    <i r="2">
      <x v="10"/>
    </i>
    <i r="2">
      <x v="11"/>
    </i>
    <i>
      <x v="7"/>
    </i>
    <i r="1">
      <x v="1"/>
    </i>
    <i r="2">
      <x v="3"/>
    </i>
    <i r="1">
      <x v="2"/>
    </i>
    <i r="2">
      <x v="5"/>
    </i>
    <i r="2">
      <x v="6"/>
    </i>
    <i r="1">
      <x v="3"/>
    </i>
    <i r="2">
      <x v="7"/>
    </i>
    <i r="1">
      <x v="4"/>
    </i>
    <i r="2">
      <x v="10"/>
    </i>
    <i r="2">
      <x v="11"/>
    </i>
    <i r="2">
      <x v="12"/>
    </i>
    <i>
      <x v="8"/>
    </i>
    <i r="1">
      <x v="1"/>
    </i>
    <i r="2">
      <x v="1"/>
    </i>
    <i r="2">
      <x v="2"/>
    </i>
    <i r="2">
      <x v="3"/>
    </i>
    <i r="1">
      <x v="2"/>
    </i>
    <i r="2">
      <x v="5"/>
    </i>
    <i t="grand">
      <x/>
    </i>
  </rowItems>
  <colItems count="1">
    <i/>
  </colItems>
  <dataFields count="1">
    <dataField name="Sum of Total Revenue"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39D7C9-1411-4019-8B3E-7A240306D9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I3:K7" firstHeaderRow="0" firstDataRow="1" firstDataCol="1"/>
  <pivotFields count="23">
    <pivotField showAll="0"/>
    <pivotField showAll="0">
      <items count="77">
        <item x="43"/>
        <item x="6"/>
        <item x="30"/>
        <item x="49"/>
        <item x="37"/>
        <item x="12"/>
        <item x="55"/>
        <item x="35"/>
        <item x="15"/>
        <item x="7"/>
        <item x="17"/>
        <item x="11"/>
        <item x="39"/>
        <item x="33"/>
        <item x="47"/>
        <item x="58"/>
        <item x="32"/>
        <item x="19"/>
        <item x="61"/>
        <item x="48"/>
        <item x="24"/>
        <item x="54"/>
        <item x="1"/>
        <item x="53"/>
        <item x="13"/>
        <item x="40"/>
        <item x="67"/>
        <item x="69"/>
        <item x="25"/>
        <item x="70"/>
        <item x="10"/>
        <item x="62"/>
        <item x="66"/>
        <item x="44"/>
        <item x="52"/>
        <item x="56"/>
        <item x="41"/>
        <item x="57"/>
        <item x="74"/>
        <item x="26"/>
        <item x="42"/>
        <item x="60"/>
        <item x="23"/>
        <item x="63"/>
        <item x="14"/>
        <item x="75"/>
        <item x="31"/>
        <item x="22"/>
        <item x="73"/>
        <item x="36"/>
        <item x="20"/>
        <item x="59"/>
        <item x="21"/>
        <item x="8"/>
        <item x="72"/>
        <item x="2"/>
        <item x="4"/>
        <item x="64"/>
        <item x="51"/>
        <item x="3"/>
        <item x="45"/>
        <item x="9"/>
        <item x="46"/>
        <item x="38"/>
        <item x="71"/>
        <item x="5"/>
        <item x="29"/>
        <item x="65"/>
        <item x="16"/>
        <item x="28"/>
        <item x="34"/>
        <item x="27"/>
        <item x="18"/>
        <item x="0"/>
        <item x="50"/>
        <item x="68"/>
        <item t="default"/>
      </items>
    </pivotField>
    <pivotField showAll="0"/>
    <pivotField showAll="0">
      <items count="3">
        <item x="0"/>
        <item x="1"/>
        <item t="default"/>
      </items>
    </pivotField>
    <pivotField showAll="0"/>
    <pivotField numFmtId="14" showAll="0">
      <items count="101">
        <item x="50"/>
        <item x="41"/>
        <item x="27"/>
        <item x="0"/>
        <item x="56"/>
        <item x="68"/>
        <item x="63"/>
        <item x="93"/>
        <item x="47"/>
        <item x="18"/>
        <item x="83"/>
        <item x="86"/>
        <item x="94"/>
        <item x="6"/>
        <item x="72"/>
        <item x="10"/>
        <item x="95"/>
        <item x="77"/>
        <item x="62"/>
        <item x="96"/>
        <item x="36"/>
        <item x="53"/>
        <item x="58"/>
        <item x="49"/>
        <item x="99"/>
        <item x="39"/>
        <item x="85"/>
        <item x="84"/>
        <item x="38"/>
        <item x="15"/>
        <item x="88"/>
        <item x="29"/>
        <item x="78"/>
        <item x="42"/>
        <item x="55"/>
        <item x="92"/>
        <item x="66"/>
        <item x="7"/>
        <item x="19"/>
        <item x="1"/>
        <item x="30"/>
        <item x="81"/>
        <item x="43"/>
        <item x="80"/>
        <item x="4"/>
        <item x="52"/>
        <item x="70"/>
        <item x="60"/>
        <item x="61"/>
        <item x="74"/>
        <item x="79"/>
        <item x="51"/>
        <item x="54"/>
        <item x="65"/>
        <item x="64"/>
        <item x="31"/>
        <item x="87"/>
        <item x="14"/>
        <item x="59"/>
        <item x="9"/>
        <item x="2"/>
        <item x="20"/>
        <item x="3"/>
        <item x="91"/>
        <item x="28"/>
        <item x="11"/>
        <item x="23"/>
        <item x="26"/>
        <item x="48"/>
        <item x="76"/>
        <item x="75"/>
        <item x="33"/>
        <item x="5"/>
        <item x="57"/>
        <item x="17"/>
        <item x="69"/>
        <item x="8"/>
        <item x="98"/>
        <item x="21"/>
        <item x="71"/>
        <item x="32"/>
        <item x="44"/>
        <item x="45"/>
        <item x="24"/>
        <item x="97"/>
        <item x="22"/>
        <item x="67"/>
        <item x="89"/>
        <item x="82"/>
        <item x="16"/>
        <item x="90"/>
        <item x="46"/>
        <item x="12"/>
        <item x="37"/>
        <item x="13"/>
        <item x="34"/>
        <item x="40"/>
        <item x="35"/>
        <item x="73"/>
        <item x="25"/>
        <item t="default"/>
      </items>
    </pivotField>
    <pivotField dataField="1" showAll="0"/>
    <pivotField numFmtId="14" showAll="0"/>
    <pivotField showAll="0"/>
    <pivotField showAll="0"/>
    <pivotField showAll="0"/>
    <pivotField showAll="0"/>
    <pivotField showAll="0"/>
    <pivotField dataField="1" showAll="0"/>
    <pivotField showAll="0">
      <items count="9">
        <item x="0"/>
        <item x="5"/>
        <item x="1"/>
        <item x="3"/>
        <item x="2"/>
        <item x="4"/>
        <item x="7"/>
        <item x="6"/>
        <item t="default"/>
      </items>
    </pivotField>
    <pivotField showAll="0"/>
    <pivotField numFmtId="10" showAll="0"/>
    <pivotField showAll="0"/>
    <pivotField showAll="0"/>
    <pivotField axis="axisRow"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1">
        <item x="0"/>
        <item x="1"/>
        <item x="2"/>
        <item x="3"/>
        <item x="4"/>
        <item x="5"/>
        <item x="6"/>
        <item x="7"/>
        <item x="8"/>
        <item x="9"/>
        <item t="default"/>
      </items>
    </pivotField>
  </pivotFields>
  <rowFields count="1">
    <field x="19"/>
  </rowFields>
  <rowItems count="4">
    <i>
      <x/>
    </i>
    <i>
      <x v="1"/>
    </i>
    <i>
      <x v="2"/>
    </i>
    <i t="grand">
      <x/>
    </i>
  </rowItems>
  <colFields count="1">
    <field x="-2"/>
  </colFields>
  <colItems count="2">
    <i>
      <x/>
    </i>
    <i i="1">
      <x v="1"/>
    </i>
  </colItems>
  <dataFields count="2">
    <dataField name="Count of Order ID" fld="6" subtotal="count" baseField="0" baseItem="0"/>
    <dataField name="Sum of Total Profit" fld="13" baseField="0" baseItem="0"/>
  </dataFields>
  <chartFormats count="8">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19" count="1" selected="0">
            <x v="0"/>
          </reference>
        </references>
      </pivotArea>
    </chartFormat>
    <chartFormat chart="17" format="18">
      <pivotArea type="data" outline="0" fieldPosition="0">
        <references count="2">
          <reference field="4294967294" count="1" selected="0">
            <x v="0"/>
          </reference>
          <reference field="19" count="1" selected="0">
            <x v="1"/>
          </reference>
        </references>
      </pivotArea>
    </chartFormat>
    <chartFormat chart="17" format="19">
      <pivotArea type="data" outline="0" fieldPosition="0">
        <references count="2">
          <reference field="4294967294" count="1" selected="0">
            <x v="0"/>
          </reference>
          <reference field="19" count="1" selected="0">
            <x v="2"/>
          </reference>
        </references>
      </pivotArea>
    </chartFormat>
    <chartFormat chart="17" format="20" series="1">
      <pivotArea type="data" outline="0" fieldPosition="0">
        <references count="1">
          <reference field="4294967294" count="1" selected="0">
            <x v="1"/>
          </reference>
        </references>
      </pivotArea>
    </chartFormat>
    <chartFormat chart="17" format="21">
      <pivotArea type="data" outline="0" fieldPosition="0">
        <references count="2">
          <reference field="4294967294" count="1" selected="0">
            <x v="1"/>
          </reference>
          <reference field="19" count="1" selected="0">
            <x v="0"/>
          </reference>
        </references>
      </pivotArea>
    </chartFormat>
    <chartFormat chart="17" format="22">
      <pivotArea type="data" outline="0" fieldPosition="0">
        <references count="2">
          <reference field="4294967294" count="1" selected="0">
            <x v="1"/>
          </reference>
          <reference field="19" count="1" selected="0">
            <x v="1"/>
          </reference>
        </references>
      </pivotArea>
    </chartFormat>
    <chartFormat chart="17" format="23">
      <pivotArea type="data" outline="0" fieldPosition="0">
        <references count="2">
          <reference field="4294967294" count="1" selected="0">
            <x v="1"/>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6B24C79-40DF-49EC-8489-FEAC0EBC166E}" sourceName="Country">
  <pivotTables>
    <pivotTable tabId="4" name="PivotTable2"/>
    <pivotTable tabId="4" name="PivotTable1"/>
    <pivotTable tabId="4" name="PivotTable3"/>
    <pivotTable tabId="4" name="PivotTable5"/>
  </pivotTables>
  <data>
    <tabular pivotCacheId="1488158221">
      <items count="76">
        <i x="43" s="1"/>
        <i x="6" s="1"/>
        <i x="30" s="1"/>
        <i x="49" s="1"/>
        <i x="37" s="1"/>
        <i x="12" s="1"/>
        <i x="55" s="1"/>
        <i x="35" s="1"/>
        <i x="15" s="1"/>
        <i x="7" s="1"/>
        <i x="17" s="1"/>
        <i x="11" s="1"/>
        <i x="39" s="1"/>
        <i x="33" s="1"/>
        <i x="47" s="1"/>
        <i x="58" s="1"/>
        <i x="32" s="1"/>
        <i x="19" s="1"/>
        <i x="61" s="1"/>
        <i x="48" s="1"/>
        <i x="24" s="1"/>
        <i x="54" s="1"/>
        <i x="1" s="1"/>
        <i x="53" s="1"/>
        <i x="13" s="1"/>
        <i x="40" s="1"/>
        <i x="67" s="1"/>
        <i x="69" s="1"/>
        <i x="25" s="1"/>
        <i x="70" s="1"/>
        <i x="10" s="1"/>
        <i x="62" s="1"/>
        <i x="66" s="1"/>
        <i x="44" s="1"/>
        <i x="52" s="1"/>
        <i x="56" s="1"/>
        <i x="41" s="1"/>
        <i x="57" s="1"/>
        <i x="74" s="1"/>
        <i x="26" s="1"/>
        <i x="42" s="1"/>
        <i x="60" s="1"/>
        <i x="23" s="1"/>
        <i x="63" s="1"/>
        <i x="14" s="1"/>
        <i x="75" s="1"/>
        <i x="31" s="1"/>
        <i x="22" s="1"/>
        <i x="73" s="1"/>
        <i x="36" s="1"/>
        <i x="20" s="1"/>
        <i x="59" s="1"/>
        <i x="21" s="1"/>
        <i x="8" s="1"/>
        <i x="72" s="1"/>
        <i x="2" s="1"/>
        <i x="4" s="1"/>
        <i x="64" s="1"/>
        <i x="51" s="1"/>
        <i x="3" s="1"/>
        <i x="45" s="1"/>
        <i x="9" s="1"/>
        <i x="46" s="1"/>
        <i x="38" s="1"/>
        <i x="71" s="1"/>
        <i x="5" s="1"/>
        <i x="29" s="1"/>
        <i x="65" s="1"/>
        <i x="16" s="1"/>
        <i x="28" s="1"/>
        <i x="34" s="1"/>
        <i x="27" s="1"/>
        <i x="18" s="1"/>
        <i x="0" s="1"/>
        <i x="50" s="1"/>
        <i x="6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A2FB84C0-4402-4ABF-B628-10C72D014D69}" sourceName="Sales Channel">
  <pivotTables>
    <pivotTable tabId="4" name="PivotTable2"/>
    <pivotTable tabId="4" name="PivotTable1"/>
    <pivotTable tabId="4" name="PivotTable3"/>
    <pivotTable tabId="4" name="PivotTable5"/>
  </pivotTables>
  <data>
    <tabular pivotCacheId="148815822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4649DB95-E6FD-46C4-A19C-E5F066268B87}" sourceName="Delivery Status">
  <pivotTables>
    <pivotTable tabId="4" name="PivotTable2"/>
    <pivotTable tabId="4" name="PivotTable1"/>
    <pivotTable tabId="4" name="PivotTable3"/>
    <pivotTable tabId="4" name="PivotTable5"/>
  </pivotTables>
  <data>
    <tabular pivotCacheId="1488158221">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69A3634D-854E-47F9-947D-52BF690FBA18}" sourceName="Months (Order Date)">
  <pivotTables>
    <pivotTable tabId="4" name="PivotTable2"/>
    <pivotTable tabId="4" name="PivotTable1"/>
    <pivotTable tabId="4" name="PivotTable3"/>
    <pivotTable tabId="4" name="PivotTable5"/>
  </pivotTables>
  <data>
    <tabular pivotCacheId="1488158221">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C0E8FB6-EE6A-4BB1-A0DB-F0167DEF6471}" sourceName="Year">
  <pivotTables>
    <pivotTable tabId="4" name="PivotTable5"/>
    <pivotTable tabId="4" name="PivotTable1"/>
    <pivotTable tabId="4" name="PivotTable2"/>
    <pivotTable tabId="4" name="PivotTable3"/>
  </pivotTables>
  <data>
    <tabular pivotCacheId="1488158221">
      <items count="8">
        <i x="0" s="1"/>
        <i x="5" s="1"/>
        <i x="1" s="1"/>
        <i x="3" s="1"/>
        <i x="2" s="1"/>
        <i x="4"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F25818D-841E-45B6-A8F5-772FD97606E3}" cache="Slicer_Year" caption="Yea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F677AB73-6BEC-4F0C-8E4F-569C5D4B5110}" cache="Slicer_Country" caption="Country" columnCount="3" style="SlicerStyleDark4" rowHeight="251883"/>
  <slicer name="Sales Channel 1" xr10:uid="{58CB9BF6-752C-47C8-90F6-844C1909FBE6}" cache="Slicer_Sales_Channel" caption="Sales Channel" columnCount="2" style="SlicerStyleDark4" rowHeight="251883"/>
  <slicer name="Delivery Status 1" xr10:uid="{C7967A85-B484-4E5A-A947-F1CD80D22B78}" cache="Slicer_Delivery_Status" caption="Delivery Status" columnCount="2" style="SlicerStyleDark4" rowHeight="251883"/>
  <slicer name="Months (Order Date) 1" xr10:uid="{5B287BB7-3611-4CFB-8D52-B02856DECA91}" cache="Slicer_Months__Order_Date" caption="Months (Order Date)" columnCount="4" style="SlicerStyleDark4" rowHeight="251883"/>
  <slicer name="Year 1" xr10:uid="{560497F3-2979-4BC3-801B-2B02EC8AFA40}" cache="Slicer_Year" caption="Year" columnCount="2" style="SlicerStyleDark4"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84C31-073A-4A55-9C52-8DEDEE6F9B98}">
  <dimension ref="A1:P101"/>
  <sheetViews>
    <sheetView zoomScale="70" zoomScaleNormal="70" workbookViewId="0">
      <selection activeCell="O4" sqref="O3:P101"/>
    </sheetView>
  </sheetViews>
  <sheetFormatPr defaultRowHeight="14.5" x14ac:dyDescent="0.35"/>
  <cols>
    <col min="1" max="1" width="13.36328125" bestFit="1" customWidth="1"/>
    <col min="2" max="2" width="16.1796875" bestFit="1" customWidth="1"/>
    <col min="3" max="3" width="18.90625" bestFit="1" customWidth="1"/>
    <col min="6" max="6" width="28.54296875" bestFit="1" customWidth="1"/>
    <col min="7" max="7" width="16.1796875" bestFit="1" customWidth="1"/>
    <col min="8" max="8" width="18.90625" bestFit="1" customWidth="1"/>
    <col min="9" max="9" width="13.36328125" bestFit="1" customWidth="1"/>
    <col min="10" max="10" width="15.453125" bestFit="1" customWidth="1"/>
    <col min="11" max="11" width="16.1796875" bestFit="1" customWidth="1"/>
    <col min="15" max="15" width="13.36328125" bestFit="1" customWidth="1"/>
    <col min="16" max="16" width="18.90625" bestFit="1" customWidth="1"/>
  </cols>
  <sheetData>
    <row r="1" spans="1:16" x14ac:dyDescent="0.35">
      <c r="F1" s="3" t="s">
        <v>138</v>
      </c>
      <c r="G1" t="s">
        <v>140</v>
      </c>
    </row>
    <row r="2" spans="1:16" x14ac:dyDescent="0.35">
      <c r="F2" s="4" t="s">
        <v>104</v>
      </c>
      <c r="G2" s="10">
        <v>166635.35999999999</v>
      </c>
    </row>
    <row r="3" spans="1:16" x14ac:dyDescent="0.35">
      <c r="A3" s="3" t="s">
        <v>138</v>
      </c>
      <c r="B3" t="s">
        <v>140</v>
      </c>
      <c r="C3" t="s">
        <v>141</v>
      </c>
      <c r="F3" s="4" t="s">
        <v>49</v>
      </c>
      <c r="G3" s="10">
        <v>693911.51</v>
      </c>
      <c r="I3" s="3" t="s">
        <v>138</v>
      </c>
      <c r="J3" t="s">
        <v>142</v>
      </c>
      <c r="K3" t="s">
        <v>140</v>
      </c>
      <c r="O3" s="3" t="s">
        <v>138</v>
      </c>
      <c r="P3" t="s">
        <v>141</v>
      </c>
    </row>
    <row r="4" spans="1:16" x14ac:dyDescent="0.35">
      <c r="A4" s="4" t="s">
        <v>23</v>
      </c>
      <c r="B4" s="10">
        <v>24920726.669999991</v>
      </c>
      <c r="C4" s="10">
        <v>79094809.199999973</v>
      </c>
      <c r="F4" s="4" t="s">
        <v>90</v>
      </c>
      <c r="G4" s="10">
        <v>576605.12</v>
      </c>
      <c r="I4" s="4" t="s">
        <v>39</v>
      </c>
      <c r="J4" s="10">
        <v>26</v>
      </c>
      <c r="K4" s="10">
        <v>11534043.59</v>
      </c>
      <c r="O4" s="4" t="s">
        <v>143</v>
      </c>
      <c r="P4" s="10">
        <v>19186024.919999998</v>
      </c>
    </row>
    <row r="5" spans="1:16" x14ac:dyDescent="0.35">
      <c r="A5" s="4" t="s">
        <v>31</v>
      </c>
      <c r="B5" s="10">
        <v>19247471.73</v>
      </c>
      <c r="C5" s="10">
        <v>58253959.110000007</v>
      </c>
      <c r="F5" s="4" t="s">
        <v>110</v>
      </c>
      <c r="G5" s="10">
        <v>495007.89</v>
      </c>
      <c r="I5" s="4" t="s">
        <v>27</v>
      </c>
      <c r="J5" s="10">
        <v>53</v>
      </c>
      <c r="K5" s="10">
        <v>24362911.629999999</v>
      </c>
      <c r="O5" s="8" t="s">
        <v>156</v>
      </c>
      <c r="P5" s="10">
        <v>3410661.1199999996</v>
      </c>
    </row>
    <row r="6" spans="1:16" x14ac:dyDescent="0.35">
      <c r="A6" s="4" t="s">
        <v>139</v>
      </c>
      <c r="B6" s="10">
        <v>44168198.399999991</v>
      </c>
      <c r="C6" s="10">
        <v>137348768.30999997</v>
      </c>
      <c r="F6" s="4" t="s">
        <v>98</v>
      </c>
      <c r="G6" s="10">
        <v>1512926.83</v>
      </c>
      <c r="I6" s="4" t="s">
        <v>45</v>
      </c>
      <c r="J6" s="10">
        <v>21</v>
      </c>
      <c r="K6" s="10">
        <v>8271243.1799999988</v>
      </c>
      <c r="O6" s="9" t="s">
        <v>47</v>
      </c>
      <c r="P6" s="10">
        <v>3410661.1199999996</v>
      </c>
    </row>
    <row r="7" spans="1:16" x14ac:dyDescent="0.35">
      <c r="F7" s="4" t="s">
        <v>63</v>
      </c>
      <c r="G7" s="10">
        <v>606834.72</v>
      </c>
      <c r="I7" s="4" t="s">
        <v>139</v>
      </c>
      <c r="J7" s="10">
        <v>100</v>
      </c>
      <c r="K7" s="10">
        <v>44168198.399999984</v>
      </c>
      <c r="O7" s="8" t="s">
        <v>157</v>
      </c>
      <c r="P7" s="10">
        <v>3670391.6599999997</v>
      </c>
    </row>
    <row r="8" spans="1:16" x14ac:dyDescent="0.35">
      <c r="F8" s="4" t="s">
        <v>116</v>
      </c>
      <c r="G8" s="10">
        <v>403773.12</v>
      </c>
      <c r="O8" s="9" t="s">
        <v>38</v>
      </c>
      <c r="P8" s="10">
        <v>2587973.2599999998</v>
      </c>
    </row>
    <row r="9" spans="1:16" x14ac:dyDescent="0.35">
      <c r="F9" s="4" t="s">
        <v>96</v>
      </c>
      <c r="G9" s="10">
        <v>846885</v>
      </c>
      <c r="O9" s="9" t="s">
        <v>25</v>
      </c>
      <c r="P9" s="10">
        <v>1082418.3999999999</v>
      </c>
    </row>
    <row r="10" spans="1:16" x14ac:dyDescent="0.35">
      <c r="F10" s="4" t="s">
        <v>67</v>
      </c>
      <c r="G10" s="10">
        <v>626223.87</v>
      </c>
      <c r="O10" s="8" t="s">
        <v>158</v>
      </c>
      <c r="P10" s="10">
        <v>12104972.140000001</v>
      </c>
    </row>
    <row r="11" spans="1:16" x14ac:dyDescent="0.35">
      <c r="F11" s="4" t="s">
        <v>53</v>
      </c>
      <c r="G11" s="10">
        <v>510216.66</v>
      </c>
      <c r="O11" s="9" t="s">
        <v>81</v>
      </c>
      <c r="P11" s="10">
        <v>6064933.75</v>
      </c>
    </row>
    <row r="12" spans="1:16" x14ac:dyDescent="0.35">
      <c r="F12" s="4" t="s">
        <v>71</v>
      </c>
      <c r="G12" s="10">
        <v>781681.3</v>
      </c>
      <c r="O12" s="9" t="s">
        <v>85</v>
      </c>
      <c r="P12" s="10">
        <v>3458252</v>
      </c>
    </row>
    <row r="13" spans="1:16" x14ac:dyDescent="0.35">
      <c r="F13" s="4" t="s">
        <v>61</v>
      </c>
      <c r="G13" s="10">
        <v>306097.91999999998</v>
      </c>
      <c r="O13" s="9" t="s">
        <v>70</v>
      </c>
      <c r="P13" s="10">
        <v>2581786.39</v>
      </c>
    </row>
    <row r="14" spans="1:16" x14ac:dyDescent="0.35">
      <c r="F14" s="4" t="s">
        <v>100</v>
      </c>
      <c r="G14" s="10">
        <v>85223.58</v>
      </c>
      <c r="O14" s="4" t="s">
        <v>144</v>
      </c>
      <c r="P14" s="10">
        <v>11129166.07</v>
      </c>
    </row>
    <row r="15" spans="1:16" x14ac:dyDescent="0.35">
      <c r="F15" s="4" t="s">
        <v>93</v>
      </c>
      <c r="G15" s="10">
        <v>160609.54</v>
      </c>
      <c r="O15" s="8" t="s">
        <v>156</v>
      </c>
      <c r="P15" s="10">
        <v>1429227.55</v>
      </c>
    </row>
    <row r="16" spans="1:16" x14ac:dyDescent="0.35">
      <c r="F16" s="4" t="s">
        <v>108</v>
      </c>
      <c r="G16" s="10">
        <v>255718.08</v>
      </c>
      <c r="O16" s="9" t="s">
        <v>74</v>
      </c>
      <c r="P16" s="10">
        <v>1042225.3500000001</v>
      </c>
    </row>
    <row r="17" spans="6:16" x14ac:dyDescent="0.35">
      <c r="F17" s="4" t="s">
        <v>119</v>
      </c>
      <c r="G17" s="10">
        <v>89904.06</v>
      </c>
      <c r="O17" s="9" t="s">
        <v>47</v>
      </c>
      <c r="P17" s="10">
        <v>387002.2</v>
      </c>
    </row>
    <row r="18" spans="6:16" x14ac:dyDescent="0.35">
      <c r="F18" s="4" t="s">
        <v>92</v>
      </c>
      <c r="G18" s="10">
        <v>2425317.87</v>
      </c>
      <c r="O18" s="8" t="s">
        <v>157</v>
      </c>
      <c r="P18" s="10">
        <v>3089560.3800000004</v>
      </c>
    </row>
    <row r="19" spans="6:16" x14ac:dyDescent="0.35">
      <c r="F19" s="4" t="s">
        <v>75</v>
      </c>
      <c r="G19" s="10">
        <v>337937.6</v>
      </c>
      <c r="O19" s="9" t="s">
        <v>52</v>
      </c>
      <c r="P19" s="10">
        <v>2798046.49</v>
      </c>
    </row>
    <row r="20" spans="6:16" x14ac:dyDescent="0.35">
      <c r="F20" s="4" t="s">
        <v>123</v>
      </c>
      <c r="G20" s="10">
        <v>146875.14000000001</v>
      </c>
      <c r="O20" s="9" t="s">
        <v>38</v>
      </c>
      <c r="P20" s="10">
        <v>272410.45</v>
      </c>
    </row>
    <row r="21" spans="6:16" x14ac:dyDescent="0.35">
      <c r="F21" s="4" t="s">
        <v>109</v>
      </c>
      <c r="G21" s="10">
        <v>727423.2</v>
      </c>
      <c r="O21" s="9" t="s">
        <v>25</v>
      </c>
      <c r="P21" s="10">
        <v>19103.439999999999</v>
      </c>
    </row>
    <row r="22" spans="6:16" x14ac:dyDescent="0.35">
      <c r="F22" s="4" t="s">
        <v>83</v>
      </c>
      <c r="G22" s="10">
        <v>315574.05</v>
      </c>
      <c r="O22" s="8" t="s">
        <v>159</v>
      </c>
      <c r="P22" s="10">
        <v>671992.56</v>
      </c>
    </row>
    <row r="23" spans="6:16" x14ac:dyDescent="0.35">
      <c r="F23" s="4" t="s">
        <v>115</v>
      </c>
      <c r="G23" s="10">
        <v>216919.36</v>
      </c>
      <c r="O23" s="9" t="s">
        <v>43</v>
      </c>
      <c r="P23" s="10">
        <v>97040.639999999999</v>
      </c>
    </row>
    <row r="24" spans="6:16" x14ac:dyDescent="0.35">
      <c r="F24" s="4" t="s">
        <v>29</v>
      </c>
      <c r="G24" s="10">
        <v>248406.36</v>
      </c>
      <c r="O24" s="9" t="s">
        <v>33</v>
      </c>
      <c r="P24" s="10">
        <v>574951.92000000004</v>
      </c>
    </row>
    <row r="25" spans="6:16" x14ac:dyDescent="0.35">
      <c r="F25" s="4" t="s">
        <v>114</v>
      </c>
      <c r="G25" s="10">
        <v>296448.34999999998</v>
      </c>
      <c r="O25" s="8" t="s">
        <v>158</v>
      </c>
      <c r="P25" s="10">
        <v>5938385.580000001</v>
      </c>
    </row>
    <row r="26" spans="6:16" x14ac:dyDescent="0.35">
      <c r="F26" s="4" t="s">
        <v>65</v>
      </c>
      <c r="G26" s="10">
        <v>1609947.52</v>
      </c>
      <c r="O26" s="9" t="s">
        <v>85</v>
      </c>
      <c r="P26" s="10">
        <v>5938385.580000001</v>
      </c>
    </row>
    <row r="27" spans="6:16" x14ac:dyDescent="0.35">
      <c r="F27" s="4" t="s">
        <v>101</v>
      </c>
      <c r="G27" s="10">
        <v>1541705.29</v>
      </c>
      <c r="O27" s="4" t="s">
        <v>145</v>
      </c>
      <c r="P27" s="10">
        <v>31898644.52</v>
      </c>
    </row>
    <row r="28" spans="6:16" x14ac:dyDescent="0.35">
      <c r="F28" s="4" t="s">
        <v>129</v>
      </c>
      <c r="G28" s="10">
        <v>1128242.43</v>
      </c>
      <c r="O28" s="8" t="s">
        <v>156</v>
      </c>
      <c r="P28" s="10">
        <v>8715498.8399999999</v>
      </c>
    </row>
    <row r="29" spans="6:16" x14ac:dyDescent="0.35">
      <c r="F29" s="4" t="s">
        <v>131</v>
      </c>
      <c r="G29" s="10">
        <v>407630.41</v>
      </c>
      <c r="O29" s="9" t="s">
        <v>74</v>
      </c>
      <c r="P29" s="10">
        <v>1012884</v>
      </c>
    </row>
    <row r="30" spans="6:16" x14ac:dyDescent="0.35">
      <c r="F30" s="4" t="s">
        <v>84</v>
      </c>
      <c r="G30" s="10">
        <v>13009.18</v>
      </c>
      <c r="O30" s="9" t="s">
        <v>47</v>
      </c>
      <c r="P30" s="10">
        <v>6707849.4199999999</v>
      </c>
    </row>
    <row r="31" spans="6:16" x14ac:dyDescent="0.35">
      <c r="F31" s="4" t="s">
        <v>132</v>
      </c>
      <c r="G31" s="10">
        <v>1258.02</v>
      </c>
      <c r="O31" s="9" t="s">
        <v>64</v>
      </c>
      <c r="P31" s="10">
        <v>994765.42</v>
      </c>
    </row>
    <row r="32" spans="6:16" x14ac:dyDescent="0.35">
      <c r="F32" s="4" t="s">
        <v>60</v>
      </c>
      <c r="G32" s="10">
        <v>7828.12</v>
      </c>
      <c r="O32" s="8" t="s">
        <v>157</v>
      </c>
      <c r="P32" s="10">
        <v>10470869.469999999</v>
      </c>
    </row>
    <row r="33" spans="6:16" x14ac:dyDescent="0.35">
      <c r="F33" s="4" t="s">
        <v>124</v>
      </c>
      <c r="G33" s="10">
        <v>235601.16</v>
      </c>
      <c r="O33" s="9" t="s">
        <v>52</v>
      </c>
      <c r="P33" s="10">
        <v>4556012.38</v>
      </c>
    </row>
    <row r="34" spans="6:16" x14ac:dyDescent="0.35">
      <c r="F34" s="4" t="s">
        <v>128</v>
      </c>
      <c r="G34" s="10">
        <v>579000.96</v>
      </c>
      <c r="O34" s="9" t="s">
        <v>38</v>
      </c>
      <c r="P34" s="10">
        <v>3782781.82</v>
      </c>
    </row>
    <row r="35" spans="6:16" x14ac:dyDescent="0.35">
      <c r="F35" s="4" t="s">
        <v>105</v>
      </c>
      <c r="G35" s="10">
        <v>23150.46</v>
      </c>
      <c r="O35" s="9" t="s">
        <v>25</v>
      </c>
      <c r="P35" s="10">
        <v>2132075.27</v>
      </c>
    </row>
    <row r="36" spans="6:16" x14ac:dyDescent="0.35">
      <c r="F36" s="4" t="s">
        <v>113</v>
      </c>
      <c r="G36" s="10">
        <v>450780.97</v>
      </c>
      <c r="O36" s="8" t="s">
        <v>159</v>
      </c>
      <c r="P36" s="10">
        <v>9670029.4400000013</v>
      </c>
    </row>
    <row r="37" spans="6:16" x14ac:dyDescent="0.35">
      <c r="F37" s="4" t="s">
        <v>117</v>
      </c>
      <c r="G37" s="10">
        <v>1046233.75</v>
      </c>
      <c r="O37" s="9" t="s">
        <v>43</v>
      </c>
      <c r="P37" s="10">
        <v>4445093.92</v>
      </c>
    </row>
    <row r="38" spans="6:16" x14ac:dyDescent="0.35">
      <c r="F38" s="4" t="s">
        <v>102</v>
      </c>
      <c r="G38" s="10">
        <v>575916.48</v>
      </c>
      <c r="O38" s="9" t="s">
        <v>57</v>
      </c>
      <c r="P38" s="10">
        <v>576782.80000000005</v>
      </c>
    </row>
    <row r="39" spans="6:16" x14ac:dyDescent="0.35">
      <c r="F39" s="4" t="s">
        <v>118</v>
      </c>
      <c r="G39" s="10">
        <v>539196.48</v>
      </c>
      <c r="O39" s="9" t="s">
        <v>33</v>
      </c>
      <c r="P39" s="10">
        <v>4648152.7200000007</v>
      </c>
    </row>
    <row r="40" spans="6:16" x14ac:dyDescent="0.35">
      <c r="F40" s="4" t="s">
        <v>136</v>
      </c>
      <c r="G40" s="10">
        <v>15103.47</v>
      </c>
      <c r="O40" s="8" t="s">
        <v>158</v>
      </c>
      <c r="P40" s="10">
        <v>3042246.7699999996</v>
      </c>
    </row>
    <row r="41" spans="6:16" x14ac:dyDescent="0.35">
      <c r="F41" s="4" t="s">
        <v>86</v>
      </c>
      <c r="G41" s="10">
        <v>79245.740000000005</v>
      </c>
      <c r="O41" s="9" t="s">
        <v>81</v>
      </c>
      <c r="P41" s="10">
        <v>3042246.7699999996</v>
      </c>
    </row>
    <row r="42" spans="6:16" x14ac:dyDescent="0.35">
      <c r="F42" s="4" t="s">
        <v>103</v>
      </c>
      <c r="G42" s="10">
        <v>159832.5</v>
      </c>
      <c r="O42" s="4" t="s">
        <v>146</v>
      </c>
      <c r="P42" s="10">
        <v>20330448.66</v>
      </c>
    </row>
    <row r="43" spans="6:16" x14ac:dyDescent="0.35">
      <c r="F43" s="4" t="s">
        <v>122</v>
      </c>
      <c r="G43" s="10">
        <v>1457942.76</v>
      </c>
      <c r="O43" s="8" t="s">
        <v>156</v>
      </c>
      <c r="P43" s="10">
        <v>4132184.12</v>
      </c>
    </row>
    <row r="44" spans="6:16" x14ac:dyDescent="0.35">
      <c r="F44" s="4" t="s">
        <v>82</v>
      </c>
      <c r="G44" s="10">
        <v>127054.2</v>
      </c>
      <c r="O44" s="9" t="s">
        <v>47</v>
      </c>
      <c r="P44" s="10">
        <v>3296425.02</v>
      </c>
    </row>
    <row r="45" spans="6:16" x14ac:dyDescent="0.35">
      <c r="F45" s="4" t="s">
        <v>125</v>
      </c>
      <c r="G45" s="10">
        <v>825738.04</v>
      </c>
      <c r="O45" s="9" t="s">
        <v>64</v>
      </c>
      <c r="P45" s="10">
        <v>835759.1</v>
      </c>
    </row>
    <row r="46" spans="6:16" x14ac:dyDescent="0.35">
      <c r="F46" s="4" t="s">
        <v>66</v>
      </c>
      <c r="G46" s="10">
        <v>122819.06</v>
      </c>
      <c r="O46" s="8" t="s">
        <v>157</v>
      </c>
      <c r="P46" s="10">
        <v>4615429.5</v>
      </c>
    </row>
    <row r="47" spans="6:16" x14ac:dyDescent="0.35">
      <c r="F47" s="4" t="s">
        <v>137</v>
      </c>
      <c r="G47" s="10">
        <v>889472.91</v>
      </c>
      <c r="O47" s="9" t="s">
        <v>52</v>
      </c>
      <c r="P47" s="10">
        <v>3262562.1</v>
      </c>
    </row>
    <row r="48" spans="6:16" x14ac:dyDescent="0.35">
      <c r="F48" s="4" t="s">
        <v>91</v>
      </c>
      <c r="G48" s="10">
        <v>1802771.7</v>
      </c>
      <c r="O48" s="9" t="s">
        <v>25</v>
      </c>
      <c r="P48" s="10">
        <v>1352867.4</v>
      </c>
    </row>
    <row r="49" spans="6:16" x14ac:dyDescent="0.35">
      <c r="F49" s="4" t="s">
        <v>80</v>
      </c>
      <c r="G49" s="10">
        <v>5270.67</v>
      </c>
      <c r="O49" s="8" t="s">
        <v>159</v>
      </c>
      <c r="P49" s="10">
        <v>8706388.3900000006</v>
      </c>
    </row>
    <row r="50" spans="6:16" x14ac:dyDescent="0.35">
      <c r="F50" s="4" t="s">
        <v>135</v>
      </c>
      <c r="G50" s="10">
        <v>127722.96</v>
      </c>
      <c r="O50" s="9" t="s">
        <v>43</v>
      </c>
      <c r="P50" s="10">
        <v>8545511.1999999993</v>
      </c>
    </row>
    <row r="51" spans="6:16" x14ac:dyDescent="0.35">
      <c r="F51" s="4" t="s">
        <v>97</v>
      </c>
      <c r="G51" s="10">
        <v>75555.899999999994</v>
      </c>
      <c r="O51" s="9" t="s">
        <v>57</v>
      </c>
      <c r="P51" s="10">
        <v>89623.98</v>
      </c>
    </row>
    <row r="52" spans="6:16" x14ac:dyDescent="0.35">
      <c r="F52" s="4" t="s">
        <v>77</v>
      </c>
      <c r="G52" s="10">
        <v>794398.84</v>
      </c>
      <c r="O52" s="9" t="s">
        <v>33</v>
      </c>
      <c r="P52" s="10">
        <v>71253.210000000006</v>
      </c>
    </row>
    <row r="53" spans="6:16" x14ac:dyDescent="0.35">
      <c r="F53" s="4" t="s">
        <v>120</v>
      </c>
      <c r="G53" s="10">
        <v>1719922.04</v>
      </c>
      <c r="O53" s="8" t="s">
        <v>158</v>
      </c>
      <c r="P53" s="10">
        <v>2876446.65</v>
      </c>
    </row>
    <row r="54" spans="6:16" x14ac:dyDescent="0.35">
      <c r="F54" s="4" t="s">
        <v>78</v>
      </c>
      <c r="G54" s="10">
        <v>122029.78</v>
      </c>
      <c r="O54" s="9" t="s">
        <v>81</v>
      </c>
      <c r="P54" s="10">
        <v>2702770.4</v>
      </c>
    </row>
    <row r="55" spans="6:16" x14ac:dyDescent="0.35">
      <c r="F55" s="4" t="s">
        <v>55</v>
      </c>
      <c r="G55" s="10">
        <v>152114.20000000001</v>
      </c>
      <c r="O55" s="9" t="s">
        <v>70</v>
      </c>
      <c r="P55" s="10">
        <v>173676.25</v>
      </c>
    </row>
    <row r="56" spans="6:16" x14ac:dyDescent="0.35">
      <c r="F56" s="4" t="s">
        <v>134</v>
      </c>
      <c r="G56" s="10">
        <v>1375311.7</v>
      </c>
      <c r="O56" s="4" t="s">
        <v>147</v>
      </c>
      <c r="P56" s="10">
        <v>16630214.43</v>
      </c>
    </row>
    <row r="57" spans="6:16" x14ac:dyDescent="0.35">
      <c r="F57" s="4" t="s">
        <v>35</v>
      </c>
      <c r="G57" s="10">
        <v>224598.75</v>
      </c>
      <c r="O57" s="8" t="s">
        <v>156</v>
      </c>
      <c r="P57" s="10">
        <v>1819660.25</v>
      </c>
    </row>
    <row r="58" spans="6:16" x14ac:dyDescent="0.35">
      <c r="F58" s="4" t="s">
        <v>46</v>
      </c>
      <c r="G58" s="10">
        <v>1417493.49</v>
      </c>
      <c r="O58" s="9" t="s">
        <v>47</v>
      </c>
      <c r="P58" s="10">
        <v>1819660.25</v>
      </c>
    </row>
    <row r="59" spans="6:16" x14ac:dyDescent="0.35">
      <c r="F59" s="4" t="s">
        <v>126</v>
      </c>
      <c r="G59" s="10">
        <v>1678540.98</v>
      </c>
      <c r="O59" s="8" t="s">
        <v>157</v>
      </c>
      <c r="P59" s="10">
        <v>7646508.3499999996</v>
      </c>
    </row>
    <row r="60" spans="6:16" x14ac:dyDescent="0.35">
      <c r="F60" s="4" t="s">
        <v>112</v>
      </c>
      <c r="G60" s="10">
        <v>455335</v>
      </c>
      <c r="O60" s="9" t="s">
        <v>52</v>
      </c>
      <c r="P60" s="10">
        <v>4510578.0999999996</v>
      </c>
    </row>
    <row r="61" spans="6:16" x14ac:dyDescent="0.35">
      <c r="F61" s="4" t="s">
        <v>41</v>
      </c>
      <c r="G61" s="10">
        <v>176193.13</v>
      </c>
      <c r="O61" s="9" t="s">
        <v>38</v>
      </c>
      <c r="P61" s="10">
        <v>3060338.59</v>
      </c>
    </row>
    <row r="62" spans="6:16" x14ac:dyDescent="0.35">
      <c r="F62" s="4" t="s">
        <v>106</v>
      </c>
      <c r="G62" s="10">
        <v>359941.17</v>
      </c>
      <c r="O62" s="9" t="s">
        <v>25</v>
      </c>
      <c r="P62" s="10">
        <v>75591.66</v>
      </c>
    </row>
    <row r="63" spans="6:16" x14ac:dyDescent="0.35">
      <c r="F63" s="4" t="s">
        <v>58</v>
      </c>
      <c r="G63" s="10">
        <v>584073.87</v>
      </c>
      <c r="O63" s="8" t="s">
        <v>159</v>
      </c>
      <c r="P63" s="10">
        <v>1164525.5999999999</v>
      </c>
    </row>
    <row r="64" spans="6:16" x14ac:dyDescent="0.35">
      <c r="F64" s="4" t="s">
        <v>107</v>
      </c>
      <c r="G64" s="10">
        <v>649879.30000000005</v>
      </c>
      <c r="O64" s="9" t="s">
        <v>43</v>
      </c>
      <c r="P64" s="10">
        <v>688641.85</v>
      </c>
    </row>
    <row r="65" spans="6:16" x14ac:dyDescent="0.35">
      <c r="F65" s="4" t="s">
        <v>99</v>
      </c>
      <c r="G65" s="10">
        <v>10795.23</v>
      </c>
      <c r="O65" s="9" t="s">
        <v>57</v>
      </c>
      <c r="P65" s="10">
        <v>455479.03999999998</v>
      </c>
    </row>
    <row r="66" spans="6:16" x14ac:dyDescent="0.35">
      <c r="F66" s="4" t="s">
        <v>133</v>
      </c>
      <c r="G66" s="10">
        <v>72975.600000000006</v>
      </c>
      <c r="O66" s="9" t="s">
        <v>33</v>
      </c>
      <c r="P66" s="10">
        <v>20404.71</v>
      </c>
    </row>
    <row r="67" spans="6:16" x14ac:dyDescent="0.35">
      <c r="F67" s="4" t="s">
        <v>48</v>
      </c>
      <c r="G67" s="10">
        <v>285087.64</v>
      </c>
      <c r="O67" s="8" t="s">
        <v>158</v>
      </c>
      <c r="P67" s="10">
        <v>5999520.2300000004</v>
      </c>
    </row>
    <row r="68" spans="6:16" x14ac:dyDescent="0.35">
      <c r="F68" s="4" t="s">
        <v>89</v>
      </c>
      <c r="G68" s="10">
        <v>53252.5</v>
      </c>
      <c r="O68" s="9" t="s">
        <v>81</v>
      </c>
      <c r="P68" s="10">
        <v>1352370.65</v>
      </c>
    </row>
    <row r="69" spans="6:16" x14ac:dyDescent="0.35">
      <c r="F69" s="4" t="s">
        <v>127</v>
      </c>
      <c r="G69" s="10">
        <v>747939.49</v>
      </c>
      <c r="O69" s="9" t="s">
        <v>85</v>
      </c>
      <c r="P69" s="10">
        <v>4647149.58</v>
      </c>
    </row>
    <row r="70" spans="6:16" x14ac:dyDescent="0.35">
      <c r="F70" s="4" t="s">
        <v>68</v>
      </c>
      <c r="G70" s="10">
        <v>1208744.24</v>
      </c>
      <c r="O70" s="4" t="s">
        <v>148</v>
      </c>
      <c r="P70" s="10">
        <v>12427982.860000001</v>
      </c>
    </row>
    <row r="71" spans="6:16" x14ac:dyDescent="0.35">
      <c r="F71" s="4" t="s">
        <v>88</v>
      </c>
      <c r="G71" s="10">
        <v>1512729.45</v>
      </c>
      <c r="O71" s="8" t="s">
        <v>156</v>
      </c>
      <c r="P71" s="10">
        <v>7517138.6200000001</v>
      </c>
    </row>
    <row r="72" spans="6:16" x14ac:dyDescent="0.35">
      <c r="F72" s="4" t="s">
        <v>95</v>
      </c>
      <c r="G72" s="10">
        <v>9119.44</v>
      </c>
      <c r="O72" s="9" t="s">
        <v>74</v>
      </c>
      <c r="P72" s="10">
        <v>5513227.5</v>
      </c>
    </row>
    <row r="73" spans="6:16" x14ac:dyDescent="0.35">
      <c r="F73" s="4" t="s">
        <v>87</v>
      </c>
      <c r="G73" s="10">
        <v>1385883.27</v>
      </c>
      <c r="O73" s="9" t="s">
        <v>47</v>
      </c>
      <c r="P73" s="10">
        <v>2003911.1199999999</v>
      </c>
    </row>
    <row r="74" spans="6:16" x14ac:dyDescent="0.35">
      <c r="F74" s="4" t="s">
        <v>73</v>
      </c>
      <c r="G74" s="10">
        <v>1267258.3999999999</v>
      </c>
      <c r="O74" s="8" t="s">
        <v>157</v>
      </c>
      <c r="P74" s="10">
        <v>1059987.26</v>
      </c>
    </row>
    <row r="75" spans="6:16" x14ac:dyDescent="0.35">
      <c r="F75" s="4" t="s">
        <v>21</v>
      </c>
      <c r="G75" s="10">
        <v>951410.5</v>
      </c>
      <c r="O75" s="9" t="s">
        <v>52</v>
      </c>
      <c r="P75" s="10">
        <v>1059987.26</v>
      </c>
    </row>
    <row r="76" spans="6:16" x14ac:dyDescent="0.35">
      <c r="F76" s="4" t="s">
        <v>111</v>
      </c>
      <c r="G76" s="10">
        <v>46735.86</v>
      </c>
      <c r="O76" s="8" t="s">
        <v>159</v>
      </c>
      <c r="P76" s="10">
        <v>1298688.54</v>
      </c>
    </row>
    <row r="77" spans="6:16" x14ac:dyDescent="0.35">
      <c r="F77" s="4" t="s">
        <v>130</v>
      </c>
      <c r="G77" s="10">
        <v>225246.9</v>
      </c>
      <c r="O77" s="9" t="s">
        <v>43</v>
      </c>
      <c r="P77" s="10">
        <v>1292409.45</v>
      </c>
    </row>
    <row r="78" spans="6:16" x14ac:dyDescent="0.35">
      <c r="F78" s="4" t="s">
        <v>139</v>
      </c>
      <c r="G78" s="10">
        <v>44168198.399999991</v>
      </c>
      <c r="O78" s="9" t="s">
        <v>57</v>
      </c>
      <c r="P78" s="10">
        <v>6279.09</v>
      </c>
    </row>
    <row r="79" spans="6:16" x14ac:dyDescent="0.35">
      <c r="O79" s="8" t="s">
        <v>158</v>
      </c>
      <c r="P79" s="10">
        <v>2552168.44</v>
      </c>
    </row>
    <row r="80" spans="6:16" x14ac:dyDescent="0.35">
      <c r="O80" s="9" t="s">
        <v>81</v>
      </c>
      <c r="P80" s="10">
        <v>1904138.04</v>
      </c>
    </row>
    <row r="81" spans="15:16" x14ac:dyDescent="0.35">
      <c r="O81" s="9" t="s">
        <v>85</v>
      </c>
      <c r="P81" s="10">
        <v>648030.4</v>
      </c>
    </row>
    <row r="82" spans="15:16" x14ac:dyDescent="0.35">
      <c r="O82" s="4" t="s">
        <v>149</v>
      </c>
      <c r="P82" s="10">
        <v>12372867.219999999</v>
      </c>
    </row>
    <row r="83" spans="15:16" x14ac:dyDescent="0.35">
      <c r="O83" s="8" t="s">
        <v>156</v>
      </c>
      <c r="P83" s="10">
        <v>197883.4</v>
      </c>
    </row>
    <row r="84" spans="15:16" x14ac:dyDescent="0.35">
      <c r="O84" s="9" t="s">
        <v>64</v>
      </c>
      <c r="P84" s="10">
        <v>197883.4</v>
      </c>
    </row>
    <row r="85" spans="15:16" x14ac:dyDescent="0.35">
      <c r="O85" s="8" t="s">
        <v>157</v>
      </c>
      <c r="P85" s="10">
        <v>982640.7</v>
      </c>
    </row>
    <row r="86" spans="15:16" x14ac:dyDescent="0.35">
      <c r="O86" s="9" t="s">
        <v>38</v>
      </c>
      <c r="P86" s="10">
        <v>414371.1</v>
      </c>
    </row>
    <row r="87" spans="15:16" x14ac:dyDescent="0.35">
      <c r="O87" s="9" t="s">
        <v>25</v>
      </c>
      <c r="P87" s="10">
        <v>568269.6</v>
      </c>
    </row>
    <row r="88" spans="15:16" x14ac:dyDescent="0.35">
      <c r="O88" s="8" t="s">
        <v>159</v>
      </c>
      <c r="P88" s="10">
        <v>600821.43999999994</v>
      </c>
    </row>
    <row r="89" spans="15:16" x14ac:dyDescent="0.35">
      <c r="O89" s="9" t="s">
        <v>43</v>
      </c>
      <c r="P89" s="10">
        <v>600821.43999999994</v>
      </c>
    </row>
    <row r="90" spans="15:16" x14ac:dyDescent="0.35">
      <c r="O90" s="8" t="s">
        <v>158</v>
      </c>
      <c r="P90" s="10">
        <v>10591521.68</v>
      </c>
    </row>
    <row r="91" spans="15:16" x14ac:dyDescent="0.35">
      <c r="O91" s="9" t="s">
        <v>81</v>
      </c>
      <c r="P91" s="10">
        <v>221117</v>
      </c>
    </row>
    <row r="92" spans="15:16" x14ac:dyDescent="0.35">
      <c r="O92" s="9" t="s">
        <v>85</v>
      </c>
      <c r="P92" s="10">
        <v>5876405.1999999993</v>
      </c>
    </row>
    <row r="93" spans="15:16" x14ac:dyDescent="0.35">
      <c r="O93" s="9" t="s">
        <v>70</v>
      </c>
      <c r="P93" s="10">
        <v>4493999.4799999995</v>
      </c>
    </row>
    <row r="94" spans="15:16" x14ac:dyDescent="0.35">
      <c r="O94" s="4" t="s">
        <v>150</v>
      </c>
      <c r="P94" s="10">
        <v>13373419.629999999</v>
      </c>
    </row>
    <row r="95" spans="15:16" x14ac:dyDescent="0.35">
      <c r="O95" s="8" t="s">
        <v>156</v>
      </c>
      <c r="P95" s="10">
        <v>10275554.859999999</v>
      </c>
    </row>
    <row r="96" spans="15:16" x14ac:dyDescent="0.35">
      <c r="O96" s="9" t="s">
        <v>74</v>
      </c>
      <c r="P96" s="10">
        <v>2914130.27</v>
      </c>
    </row>
    <row r="97" spans="15:16" x14ac:dyDescent="0.35">
      <c r="O97" s="9" t="s">
        <v>47</v>
      </c>
      <c r="P97" s="10">
        <v>7115008.6400000006</v>
      </c>
    </row>
    <row r="98" spans="15:16" x14ac:dyDescent="0.35">
      <c r="O98" s="9" t="s">
        <v>64</v>
      </c>
      <c r="P98" s="10">
        <v>246415.95</v>
      </c>
    </row>
    <row r="99" spans="15:16" x14ac:dyDescent="0.35">
      <c r="O99" s="8" t="s">
        <v>157</v>
      </c>
      <c r="P99" s="10">
        <v>3097864.77</v>
      </c>
    </row>
    <row r="100" spans="15:16" x14ac:dyDescent="0.35">
      <c r="O100" s="9" t="s">
        <v>38</v>
      </c>
      <c r="P100" s="10">
        <v>3097864.77</v>
      </c>
    </row>
    <row r="101" spans="15:16" x14ac:dyDescent="0.35">
      <c r="O101" s="4" t="s">
        <v>139</v>
      </c>
      <c r="P101" s="10">
        <v>137348768.31000003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AE73B-A422-4A62-BBC6-11AB9C08D614}">
  <dimension ref="A2:B10"/>
  <sheetViews>
    <sheetView workbookViewId="0">
      <selection activeCell="C17" sqref="C17"/>
    </sheetView>
  </sheetViews>
  <sheetFormatPr defaultRowHeight="14.5" x14ac:dyDescent="0.35"/>
  <cols>
    <col min="1" max="1" width="21.7265625" bestFit="1" customWidth="1"/>
    <col min="2" max="2" width="14.54296875" bestFit="1" customWidth="1"/>
    <col min="3" max="3" width="10.81640625" bestFit="1" customWidth="1"/>
  </cols>
  <sheetData>
    <row r="2" spans="1:2" x14ac:dyDescent="0.35">
      <c r="A2" s="5" t="s">
        <v>151</v>
      </c>
      <c r="B2" s="6">
        <f>SUM('Amazon Sales data'!L2:L101)</f>
        <v>137348768.30999997</v>
      </c>
    </row>
    <row r="4" spans="1:2" x14ac:dyDescent="0.35">
      <c r="A4" s="5" t="s">
        <v>152</v>
      </c>
      <c r="B4" s="6">
        <f>GETPIVOTDATA("Sum of Total Profit",Sheet3!$A$3)</f>
        <v>44168198.399999991</v>
      </c>
    </row>
    <row r="6" spans="1:2" x14ac:dyDescent="0.35">
      <c r="A6" s="5" t="s">
        <v>153</v>
      </c>
      <c r="B6" s="2">
        <f>GETPIVOTDATA("Sum of Total Profit",Sheet3!$A$3)/GETPIVOTDATA("Sum of Total Revenue",Sheet3!$A$3)</f>
        <v>0.32157695291676108</v>
      </c>
    </row>
    <row r="8" spans="1:2" x14ac:dyDescent="0.35">
      <c r="A8" t="s">
        <v>154</v>
      </c>
      <c r="B8" s="6">
        <f>MAX('Amazon Sales data'!N2:N101)</f>
        <v>1719922.04</v>
      </c>
    </row>
    <row r="10" spans="1:2" x14ac:dyDescent="0.35">
      <c r="A10" t="s">
        <v>155</v>
      </c>
      <c r="B10" s="6">
        <f>SUM('Amazon Sales data'!N2:N101)/COUNTA('Amazon Sales data'!A2:A101)</f>
        <v>441681.98399999994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00AF7-A32B-4793-BDDB-25E09734B4E9}">
  <dimension ref="A1"/>
  <sheetViews>
    <sheetView showGridLines="0" tabSelected="1" zoomScale="70" zoomScaleNormal="70" workbookViewId="0">
      <selection activeCell="U13" sqref="U13"/>
    </sheetView>
  </sheetViews>
  <sheetFormatPr defaultRowHeight="14.5" x14ac:dyDescent="0.35"/>
  <cols>
    <col min="1" max="16384" width="8.7265625" style="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58346-EBCF-4B0C-A2D4-C0881C1F0008}">
  <dimension ref="A1:T101"/>
  <sheetViews>
    <sheetView topLeftCell="A31" workbookViewId="0">
      <selection activeCell="L31" sqref="A1:XFD1048576"/>
    </sheetView>
  </sheetViews>
  <sheetFormatPr defaultRowHeight="14.5" x14ac:dyDescent="0.35"/>
  <cols>
    <col min="1" max="1" width="29.453125" bestFit="1" customWidth="1"/>
    <col min="2" max="2" width="28.54296875" bestFit="1" customWidth="1"/>
    <col min="3" max="3" width="13" bestFit="1" customWidth="1"/>
    <col min="4" max="4" width="12.26953125" bestFit="1" customWidth="1"/>
    <col min="5" max="5" width="11.54296875" bestFit="1" customWidth="1"/>
    <col min="6" max="6" width="10.08984375" bestFit="1" customWidth="1"/>
    <col min="7" max="7" width="9.81640625" bestFit="1" customWidth="1"/>
    <col min="8" max="8" width="10.08984375" bestFit="1" customWidth="1"/>
    <col min="9" max="9" width="8.90625" bestFit="1" customWidth="1"/>
    <col min="11" max="11" width="8.36328125" bestFit="1" customWidth="1"/>
    <col min="12" max="12" width="12.08984375" bestFit="1" customWidth="1"/>
    <col min="13" max="14" width="10.81640625" bestFit="1" customWidth="1"/>
    <col min="15" max="15" width="4.81640625" bestFit="1" customWidth="1"/>
    <col min="16" max="16" width="5.90625" bestFit="1" customWidth="1"/>
    <col min="17" max="17" width="11" bestFit="1" customWidth="1"/>
    <col min="18" max="18" width="12.90625" bestFit="1" customWidth="1"/>
    <col min="19" max="19" width="11.6328125" bestFit="1" customWidth="1"/>
    <col min="20" max="20" width="12.9062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t="s">
        <v>20</v>
      </c>
      <c r="B2" t="s">
        <v>21</v>
      </c>
      <c r="C2" t="s">
        <v>22</v>
      </c>
      <c r="D2" t="s">
        <v>23</v>
      </c>
      <c r="E2" t="s">
        <v>24</v>
      </c>
      <c r="F2" s="1">
        <v>40326</v>
      </c>
      <c r="G2">
        <v>669165933</v>
      </c>
      <c r="H2" s="1">
        <v>40356</v>
      </c>
      <c r="I2">
        <v>9925</v>
      </c>
      <c r="J2">
        <v>255.28</v>
      </c>
      <c r="K2">
        <v>159.41999999999999</v>
      </c>
      <c r="L2">
        <v>2533654</v>
      </c>
      <c r="M2">
        <v>1582243.5</v>
      </c>
      <c r="N2">
        <v>951410.5</v>
      </c>
      <c r="O2">
        <v>2010</v>
      </c>
      <c r="P2" t="s">
        <v>25</v>
      </c>
      <c r="Q2" s="2">
        <v>0.3755</v>
      </c>
      <c r="R2" t="s">
        <v>26</v>
      </c>
      <c r="S2">
        <v>30</v>
      </c>
      <c r="T2" t="s">
        <v>27</v>
      </c>
    </row>
    <row r="3" spans="1:20" x14ac:dyDescent="0.35">
      <c r="A3" t="s">
        <v>28</v>
      </c>
      <c r="B3" t="s">
        <v>29</v>
      </c>
      <c r="C3" t="s">
        <v>30</v>
      </c>
      <c r="D3" t="s">
        <v>31</v>
      </c>
      <c r="E3" t="s">
        <v>32</v>
      </c>
      <c r="F3" s="1">
        <v>41143</v>
      </c>
      <c r="G3">
        <v>963881480</v>
      </c>
      <c r="H3" s="1">
        <v>41167</v>
      </c>
      <c r="I3">
        <v>2804</v>
      </c>
      <c r="J3">
        <v>205.7</v>
      </c>
      <c r="K3">
        <v>117.11</v>
      </c>
      <c r="L3">
        <v>576782.80000000005</v>
      </c>
      <c r="M3">
        <v>328376.44</v>
      </c>
      <c r="N3">
        <v>248406.36</v>
      </c>
      <c r="O3">
        <v>2012</v>
      </c>
      <c r="P3" t="s">
        <v>33</v>
      </c>
      <c r="Q3" s="2">
        <v>0.43070000000000003</v>
      </c>
      <c r="R3" t="s">
        <v>26</v>
      </c>
      <c r="S3">
        <v>24</v>
      </c>
      <c r="T3" t="s">
        <v>27</v>
      </c>
    </row>
    <row r="4" spans="1:20" x14ac:dyDescent="0.35">
      <c r="A4" t="s">
        <v>34</v>
      </c>
      <c r="B4" t="s">
        <v>35</v>
      </c>
      <c r="C4" t="s">
        <v>36</v>
      </c>
      <c r="D4" t="s">
        <v>23</v>
      </c>
      <c r="E4" t="s">
        <v>37</v>
      </c>
      <c r="F4" s="1">
        <v>41761</v>
      </c>
      <c r="G4">
        <v>341417157</v>
      </c>
      <c r="H4" s="1">
        <v>41767</v>
      </c>
      <c r="I4">
        <v>1779</v>
      </c>
      <c r="J4">
        <v>651.21</v>
      </c>
      <c r="K4">
        <v>524.96</v>
      </c>
      <c r="L4">
        <v>1158502.5900000001</v>
      </c>
      <c r="M4">
        <v>933903.84</v>
      </c>
      <c r="N4">
        <v>224598.75</v>
      </c>
      <c r="O4">
        <v>2014</v>
      </c>
      <c r="P4" t="s">
        <v>38</v>
      </c>
      <c r="Q4" s="2">
        <v>0.19389999999999999</v>
      </c>
      <c r="R4" t="s">
        <v>26</v>
      </c>
      <c r="S4">
        <v>6</v>
      </c>
      <c r="T4" t="s">
        <v>39</v>
      </c>
    </row>
    <row r="5" spans="1:20" x14ac:dyDescent="0.35">
      <c r="A5" t="s">
        <v>40</v>
      </c>
      <c r="B5" t="s">
        <v>41</v>
      </c>
      <c r="C5" t="s">
        <v>42</v>
      </c>
      <c r="D5" t="s">
        <v>31</v>
      </c>
      <c r="E5" t="s">
        <v>32</v>
      </c>
      <c r="F5" s="1">
        <v>41810</v>
      </c>
      <c r="G5">
        <v>514321792</v>
      </c>
      <c r="H5" s="1">
        <v>41825</v>
      </c>
      <c r="I5">
        <v>8102</v>
      </c>
      <c r="J5">
        <v>9.33</v>
      </c>
      <c r="K5">
        <v>6.92</v>
      </c>
      <c r="L5">
        <v>75591.66</v>
      </c>
      <c r="M5">
        <v>56065.84</v>
      </c>
      <c r="N5">
        <v>19525.82</v>
      </c>
      <c r="O5">
        <v>2014</v>
      </c>
      <c r="P5" t="s">
        <v>43</v>
      </c>
      <c r="Q5" s="2">
        <v>0.25829999999999997</v>
      </c>
      <c r="R5" t="s">
        <v>44</v>
      </c>
      <c r="S5">
        <v>15</v>
      </c>
      <c r="T5" t="s">
        <v>45</v>
      </c>
    </row>
    <row r="6" spans="1:20" x14ac:dyDescent="0.35">
      <c r="A6" t="s">
        <v>40</v>
      </c>
      <c r="B6" t="s">
        <v>46</v>
      </c>
      <c r="C6" t="s">
        <v>36</v>
      </c>
      <c r="D6" t="s">
        <v>23</v>
      </c>
      <c r="E6" t="s">
        <v>37</v>
      </c>
      <c r="F6" s="1">
        <v>41306</v>
      </c>
      <c r="G6">
        <v>115456712</v>
      </c>
      <c r="H6" s="1">
        <v>41311</v>
      </c>
      <c r="I6">
        <v>5062</v>
      </c>
      <c r="J6">
        <v>651.21</v>
      </c>
      <c r="K6">
        <v>524.96</v>
      </c>
      <c r="L6">
        <v>3296425.02</v>
      </c>
      <c r="M6">
        <v>2657347.52</v>
      </c>
      <c r="N6">
        <v>639077.5</v>
      </c>
      <c r="O6">
        <v>2013</v>
      </c>
      <c r="P6" t="s">
        <v>47</v>
      </c>
      <c r="Q6" s="2">
        <v>0.19389999999999999</v>
      </c>
      <c r="R6" t="s">
        <v>26</v>
      </c>
      <c r="S6">
        <v>5</v>
      </c>
      <c r="T6" t="s">
        <v>39</v>
      </c>
    </row>
    <row r="7" spans="1:20" x14ac:dyDescent="0.35">
      <c r="A7" t="s">
        <v>20</v>
      </c>
      <c r="B7" t="s">
        <v>48</v>
      </c>
      <c r="C7" t="s">
        <v>22</v>
      </c>
      <c r="D7" t="s">
        <v>31</v>
      </c>
      <c r="E7" t="s">
        <v>32</v>
      </c>
      <c r="F7" s="1">
        <v>42039</v>
      </c>
      <c r="G7">
        <v>547995746</v>
      </c>
      <c r="H7" s="1">
        <v>42056</v>
      </c>
      <c r="I7">
        <v>2974</v>
      </c>
      <c r="J7">
        <v>255.28</v>
      </c>
      <c r="K7">
        <v>159.41999999999999</v>
      </c>
      <c r="L7">
        <v>759202.72</v>
      </c>
      <c r="M7">
        <v>474115.08</v>
      </c>
      <c r="N7">
        <v>285087.64</v>
      </c>
      <c r="O7">
        <v>2015</v>
      </c>
      <c r="P7" t="s">
        <v>47</v>
      </c>
      <c r="Q7" s="2">
        <v>0.3755</v>
      </c>
      <c r="R7" t="s">
        <v>26</v>
      </c>
      <c r="S7">
        <v>17</v>
      </c>
      <c r="T7" t="s">
        <v>45</v>
      </c>
    </row>
    <row r="8" spans="1:20" x14ac:dyDescent="0.35">
      <c r="A8" t="s">
        <v>40</v>
      </c>
      <c r="B8" t="s">
        <v>49</v>
      </c>
      <c r="C8" t="s">
        <v>50</v>
      </c>
      <c r="D8" t="s">
        <v>23</v>
      </c>
      <c r="E8" t="s">
        <v>51</v>
      </c>
      <c r="F8" s="1">
        <v>40656</v>
      </c>
      <c r="G8">
        <v>135425221</v>
      </c>
      <c r="H8" s="1">
        <v>40660</v>
      </c>
      <c r="I8">
        <v>4187</v>
      </c>
      <c r="J8">
        <v>668.27</v>
      </c>
      <c r="K8">
        <v>502.54</v>
      </c>
      <c r="L8">
        <v>2798046.49</v>
      </c>
      <c r="M8">
        <v>2104134.98</v>
      </c>
      <c r="N8">
        <v>693911.51</v>
      </c>
      <c r="O8">
        <v>2011</v>
      </c>
      <c r="P8" t="s">
        <v>52</v>
      </c>
      <c r="Q8" s="2">
        <v>0.248</v>
      </c>
      <c r="R8" t="s">
        <v>26</v>
      </c>
      <c r="S8">
        <v>4</v>
      </c>
      <c r="T8" t="s">
        <v>39</v>
      </c>
    </row>
    <row r="9" spans="1:20" x14ac:dyDescent="0.35">
      <c r="A9" t="s">
        <v>40</v>
      </c>
      <c r="B9" t="s">
        <v>53</v>
      </c>
      <c r="C9" t="s">
        <v>54</v>
      </c>
      <c r="D9" t="s">
        <v>31</v>
      </c>
      <c r="E9" t="s">
        <v>24</v>
      </c>
      <c r="F9" s="1">
        <v>41107</v>
      </c>
      <c r="G9">
        <v>871543967</v>
      </c>
      <c r="H9" s="1">
        <v>41117</v>
      </c>
      <c r="I9">
        <v>8082</v>
      </c>
      <c r="J9">
        <v>154.06</v>
      </c>
      <c r="K9">
        <v>90.93</v>
      </c>
      <c r="L9">
        <v>1245112.92</v>
      </c>
      <c r="M9">
        <v>734896.26</v>
      </c>
      <c r="N9">
        <v>510216.66</v>
      </c>
      <c r="O9">
        <v>2012</v>
      </c>
      <c r="P9" t="s">
        <v>43</v>
      </c>
      <c r="Q9" s="2">
        <v>0.4098</v>
      </c>
      <c r="R9" t="s">
        <v>26</v>
      </c>
      <c r="S9">
        <v>10</v>
      </c>
      <c r="T9" t="s">
        <v>39</v>
      </c>
    </row>
    <row r="10" spans="1:20" x14ac:dyDescent="0.35">
      <c r="A10" t="s">
        <v>40</v>
      </c>
      <c r="B10" t="s">
        <v>55</v>
      </c>
      <c r="C10" t="s">
        <v>56</v>
      </c>
      <c r="D10" t="s">
        <v>23</v>
      </c>
      <c r="E10" t="s">
        <v>51</v>
      </c>
      <c r="F10" s="1">
        <v>42199</v>
      </c>
      <c r="G10">
        <v>770463311</v>
      </c>
      <c r="H10" s="1">
        <v>42241</v>
      </c>
      <c r="I10">
        <v>6070</v>
      </c>
      <c r="J10">
        <v>81.73</v>
      </c>
      <c r="K10">
        <v>56.67</v>
      </c>
      <c r="L10">
        <v>496101.1</v>
      </c>
      <c r="M10">
        <v>343986.9</v>
      </c>
      <c r="N10">
        <v>152114.20000000001</v>
      </c>
      <c r="O10">
        <v>2015</v>
      </c>
      <c r="P10" t="s">
        <v>57</v>
      </c>
      <c r="Q10" s="2">
        <v>0.30659999999999998</v>
      </c>
      <c r="R10" t="s">
        <v>26</v>
      </c>
      <c r="S10">
        <v>42</v>
      </c>
      <c r="T10" t="s">
        <v>27</v>
      </c>
    </row>
    <row r="11" spans="1:20" x14ac:dyDescent="0.35">
      <c r="A11" t="s">
        <v>40</v>
      </c>
      <c r="B11" t="s">
        <v>58</v>
      </c>
      <c r="C11" t="s">
        <v>30</v>
      </c>
      <c r="D11" t="s">
        <v>31</v>
      </c>
      <c r="E11" t="s">
        <v>24</v>
      </c>
      <c r="F11" s="1">
        <v>41747</v>
      </c>
      <c r="G11">
        <v>616607081</v>
      </c>
      <c r="H11" s="1">
        <v>41789</v>
      </c>
      <c r="I11">
        <v>6593</v>
      </c>
      <c r="J11">
        <v>205.7</v>
      </c>
      <c r="K11">
        <v>117.11</v>
      </c>
      <c r="L11">
        <v>1356180.1</v>
      </c>
      <c r="M11">
        <v>772106.23</v>
      </c>
      <c r="N11">
        <v>584073.87</v>
      </c>
      <c r="O11">
        <v>2014</v>
      </c>
      <c r="P11" t="s">
        <v>38</v>
      </c>
      <c r="Q11" s="2">
        <v>0.43070000000000003</v>
      </c>
      <c r="R11" t="s">
        <v>26</v>
      </c>
      <c r="S11">
        <v>42</v>
      </c>
      <c r="T11" t="s">
        <v>27</v>
      </c>
    </row>
    <row r="12" spans="1:20" x14ac:dyDescent="0.35">
      <c r="A12" t="s">
        <v>59</v>
      </c>
      <c r="B12" t="s">
        <v>60</v>
      </c>
      <c r="C12" t="s">
        <v>54</v>
      </c>
      <c r="D12" t="s">
        <v>31</v>
      </c>
      <c r="E12" t="s">
        <v>24</v>
      </c>
      <c r="F12" s="1">
        <v>40718</v>
      </c>
      <c r="G12">
        <v>814711606</v>
      </c>
      <c r="H12" s="1">
        <v>40736</v>
      </c>
      <c r="I12">
        <v>124</v>
      </c>
      <c r="J12">
        <v>154.06</v>
      </c>
      <c r="K12">
        <v>90.93</v>
      </c>
      <c r="L12">
        <v>19103.439999999999</v>
      </c>
      <c r="M12">
        <v>11275.32</v>
      </c>
      <c r="N12">
        <v>7828.12</v>
      </c>
      <c r="O12">
        <v>2011</v>
      </c>
      <c r="P12" t="s">
        <v>43</v>
      </c>
      <c r="Q12" s="2">
        <v>0.4098</v>
      </c>
      <c r="R12" t="s">
        <v>44</v>
      </c>
      <c r="S12">
        <v>18</v>
      </c>
      <c r="T12" t="s">
        <v>45</v>
      </c>
    </row>
    <row r="13" spans="1:20" x14ac:dyDescent="0.35">
      <c r="A13" t="s">
        <v>40</v>
      </c>
      <c r="B13" t="s">
        <v>61</v>
      </c>
      <c r="C13" t="s">
        <v>62</v>
      </c>
      <c r="D13" t="s">
        <v>23</v>
      </c>
      <c r="E13" t="s">
        <v>24</v>
      </c>
      <c r="F13" s="1">
        <v>41853</v>
      </c>
      <c r="G13">
        <v>939825713</v>
      </c>
      <c r="H13" s="1">
        <v>41870</v>
      </c>
      <c r="I13">
        <v>4168</v>
      </c>
      <c r="J13">
        <v>109.28</v>
      </c>
      <c r="K13">
        <v>35.840000000000003</v>
      </c>
      <c r="L13">
        <v>455479.03999999998</v>
      </c>
      <c r="M13">
        <v>149381.12</v>
      </c>
      <c r="N13">
        <v>306097.91999999998</v>
      </c>
      <c r="O13">
        <v>2014</v>
      </c>
      <c r="P13" t="s">
        <v>57</v>
      </c>
      <c r="Q13" s="2">
        <v>0.67200000000000004</v>
      </c>
      <c r="R13" t="s">
        <v>26</v>
      </c>
      <c r="S13">
        <v>17</v>
      </c>
      <c r="T13" t="s">
        <v>45</v>
      </c>
    </row>
    <row r="14" spans="1:20" x14ac:dyDescent="0.35">
      <c r="A14" t="s">
        <v>59</v>
      </c>
      <c r="B14" t="s">
        <v>63</v>
      </c>
      <c r="C14" t="s">
        <v>62</v>
      </c>
      <c r="D14" t="s">
        <v>31</v>
      </c>
      <c r="E14" t="s">
        <v>37</v>
      </c>
      <c r="F14" s="1">
        <v>42748</v>
      </c>
      <c r="G14">
        <v>187310731</v>
      </c>
      <c r="H14" s="1">
        <v>42795</v>
      </c>
      <c r="I14">
        <v>8263</v>
      </c>
      <c r="J14">
        <v>109.28</v>
      </c>
      <c r="K14">
        <v>35.840000000000003</v>
      </c>
      <c r="L14">
        <v>902980.64</v>
      </c>
      <c r="M14">
        <v>296145.91999999998</v>
      </c>
      <c r="N14">
        <v>606834.72</v>
      </c>
      <c r="O14">
        <v>2017</v>
      </c>
      <c r="P14" t="s">
        <v>64</v>
      </c>
      <c r="Q14" s="2">
        <v>0.67200000000000004</v>
      </c>
      <c r="R14" t="s">
        <v>26</v>
      </c>
      <c r="S14">
        <v>47</v>
      </c>
      <c r="T14" t="s">
        <v>27</v>
      </c>
    </row>
    <row r="15" spans="1:20" x14ac:dyDescent="0.35">
      <c r="A15" t="s">
        <v>28</v>
      </c>
      <c r="B15" t="s">
        <v>65</v>
      </c>
      <c r="C15" t="s">
        <v>50</v>
      </c>
      <c r="D15" t="s">
        <v>23</v>
      </c>
      <c r="E15" t="s">
        <v>24</v>
      </c>
      <c r="F15" s="1">
        <v>42774</v>
      </c>
      <c r="G15">
        <v>522840487</v>
      </c>
      <c r="H15" s="1">
        <v>42779</v>
      </c>
      <c r="I15">
        <v>8974</v>
      </c>
      <c r="J15">
        <v>668.27</v>
      </c>
      <c r="K15">
        <v>502.54</v>
      </c>
      <c r="L15">
        <v>5997054.9800000004</v>
      </c>
      <c r="M15">
        <v>4509793.96</v>
      </c>
      <c r="N15">
        <v>1487261.02</v>
      </c>
      <c r="O15">
        <v>2017</v>
      </c>
      <c r="P15" t="s">
        <v>47</v>
      </c>
      <c r="Q15" s="2">
        <v>0.248</v>
      </c>
      <c r="R15" t="s">
        <v>26</v>
      </c>
      <c r="S15">
        <v>5</v>
      </c>
      <c r="T15" t="s">
        <v>39</v>
      </c>
    </row>
    <row r="16" spans="1:20" x14ac:dyDescent="0.35">
      <c r="A16" t="s">
        <v>59</v>
      </c>
      <c r="B16" t="s">
        <v>66</v>
      </c>
      <c r="C16" t="s">
        <v>56</v>
      </c>
      <c r="D16" t="s">
        <v>23</v>
      </c>
      <c r="E16" t="s">
        <v>32</v>
      </c>
      <c r="F16" s="1">
        <v>41689</v>
      </c>
      <c r="G16">
        <v>832401311</v>
      </c>
      <c r="H16" s="1">
        <v>41693</v>
      </c>
      <c r="I16">
        <v>4901</v>
      </c>
      <c r="J16">
        <v>81.73</v>
      </c>
      <c r="K16">
        <v>56.67</v>
      </c>
      <c r="L16">
        <v>400558.73</v>
      </c>
      <c r="M16">
        <v>277739.67</v>
      </c>
      <c r="N16">
        <v>122819.06</v>
      </c>
      <c r="O16">
        <v>2014</v>
      </c>
      <c r="P16" t="s">
        <v>47</v>
      </c>
      <c r="Q16" s="2">
        <v>0.30659999999999998</v>
      </c>
      <c r="R16" t="s">
        <v>26</v>
      </c>
      <c r="S16">
        <v>4</v>
      </c>
      <c r="T16" t="s">
        <v>39</v>
      </c>
    </row>
    <row r="17" spans="1:20" x14ac:dyDescent="0.35">
      <c r="A17" t="s">
        <v>34</v>
      </c>
      <c r="B17" t="s">
        <v>67</v>
      </c>
      <c r="C17" t="s">
        <v>62</v>
      </c>
      <c r="D17" t="s">
        <v>31</v>
      </c>
      <c r="E17" t="s">
        <v>51</v>
      </c>
      <c r="F17" s="1">
        <v>41022</v>
      </c>
      <c r="G17">
        <v>972292029</v>
      </c>
      <c r="H17" s="1">
        <v>41063</v>
      </c>
      <c r="I17">
        <v>1673</v>
      </c>
      <c r="J17">
        <v>109.28</v>
      </c>
      <c r="K17">
        <v>35.840000000000003</v>
      </c>
      <c r="L17">
        <v>182825.44</v>
      </c>
      <c r="M17">
        <v>59960.32</v>
      </c>
      <c r="N17">
        <v>122865.12</v>
      </c>
      <c r="O17">
        <v>2012</v>
      </c>
      <c r="P17" t="s">
        <v>25</v>
      </c>
      <c r="Q17" s="2">
        <v>0.67200000000000004</v>
      </c>
      <c r="R17" t="s">
        <v>26</v>
      </c>
      <c r="S17">
        <v>41</v>
      </c>
      <c r="T17" t="s">
        <v>27</v>
      </c>
    </row>
    <row r="18" spans="1:20" x14ac:dyDescent="0.35">
      <c r="A18" t="s">
        <v>59</v>
      </c>
      <c r="B18" t="s">
        <v>68</v>
      </c>
      <c r="C18" t="s">
        <v>69</v>
      </c>
      <c r="D18" t="s">
        <v>23</v>
      </c>
      <c r="E18" t="s">
        <v>51</v>
      </c>
      <c r="F18" s="1">
        <v>42693</v>
      </c>
      <c r="G18">
        <v>419123971</v>
      </c>
      <c r="H18" s="1">
        <v>42722</v>
      </c>
      <c r="I18">
        <v>6952</v>
      </c>
      <c r="J18">
        <v>437.2</v>
      </c>
      <c r="K18">
        <v>263.33</v>
      </c>
      <c r="L18">
        <v>3039414.4</v>
      </c>
      <c r="M18">
        <v>1830670.16</v>
      </c>
      <c r="N18">
        <v>1208744.24</v>
      </c>
      <c r="O18">
        <v>2016</v>
      </c>
      <c r="P18" t="s">
        <v>70</v>
      </c>
      <c r="Q18" s="2">
        <v>0.3977</v>
      </c>
      <c r="R18" t="s">
        <v>26</v>
      </c>
      <c r="S18">
        <v>29</v>
      </c>
      <c r="T18" t="s">
        <v>27</v>
      </c>
    </row>
    <row r="19" spans="1:20" x14ac:dyDescent="0.35">
      <c r="A19" t="s">
        <v>40</v>
      </c>
      <c r="B19" t="s">
        <v>71</v>
      </c>
      <c r="C19" t="s">
        <v>72</v>
      </c>
      <c r="D19" t="s">
        <v>23</v>
      </c>
      <c r="E19" t="s">
        <v>32</v>
      </c>
      <c r="F19" s="1">
        <v>42095</v>
      </c>
      <c r="G19">
        <v>519820964</v>
      </c>
      <c r="H19" s="1">
        <v>42112</v>
      </c>
      <c r="I19">
        <v>5430</v>
      </c>
      <c r="J19">
        <v>47.45</v>
      </c>
      <c r="K19">
        <v>31.79</v>
      </c>
      <c r="L19">
        <v>257653.5</v>
      </c>
      <c r="M19">
        <v>172619.7</v>
      </c>
      <c r="N19">
        <v>85033.8</v>
      </c>
      <c r="O19">
        <v>2015</v>
      </c>
      <c r="P19" t="s">
        <v>52</v>
      </c>
      <c r="Q19" s="2">
        <v>0.33</v>
      </c>
      <c r="R19" t="s">
        <v>26</v>
      </c>
      <c r="S19">
        <v>17</v>
      </c>
      <c r="T19" t="s">
        <v>45</v>
      </c>
    </row>
    <row r="20" spans="1:20" x14ac:dyDescent="0.35">
      <c r="A20" t="s">
        <v>59</v>
      </c>
      <c r="B20" t="s">
        <v>73</v>
      </c>
      <c r="C20" t="s">
        <v>50</v>
      </c>
      <c r="D20" t="s">
        <v>23</v>
      </c>
      <c r="E20" t="s">
        <v>37</v>
      </c>
      <c r="F20" s="1">
        <v>40542</v>
      </c>
      <c r="G20">
        <v>441619336</v>
      </c>
      <c r="H20" s="1">
        <v>40563</v>
      </c>
      <c r="I20">
        <v>3830</v>
      </c>
      <c r="J20">
        <v>668.27</v>
      </c>
      <c r="K20">
        <v>502.54</v>
      </c>
      <c r="L20">
        <v>2559474.1</v>
      </c>
      <c r="M20">
        <v>1924728.2</v>
      </c>
      <c r="N20">
        <v>634745.9</v>
      </c>
      <c r="O20">
        <v>2011</v>
      </c>
      <c r="P20" t="s">
        <v>74</v>
      </c>
      <c r="Q20" s="2">
        <v>0.248</v>
      </c>
      <c r="R20" t="s">
        <v>26</v>
      </c>
      <c r="S20">
        <v>21</v>
      </c>
      <c r="T20" t="s">
        <v>27</v>
      </c>
    </row>
    <row r="21" spans="1:20" x14ac:dyDescent="0.35">
      <c r="A21" t="s">
        <v>20</v>
      </c>
      <c r="B21" t="s">
        <v>75</v>
      </c>
      <c r="C21" t="s">
        <v>76</v>
      </c>
      <c r="D21" t="s">
        <v>31</v>
      </c>
      <c r="E21" t="s">
        <v>37</v>
      </c>
      <c r="F21" s="1">
        <v>41121</v>
      </c>
      <c r="G21">
        <v>322067916</v>
      </c>
      <c r="H21" s="1">
        <v>41163</v>
      </c>
      <c r="I21">
        <v>5908</v>
      </c>
      <c r="J21">
        <v>421.89</v>
      </c>
      <c r="K21">
        <v>364.69</v>
      </c>
      <c r="L21">
        <v>2492526.12</v>
      </c>
      <c r="M21">
        <v>2154588.52</v>
      </c>
      <c r="N21">
        <v>337937.6</v>
      </c>
      <c r="O21">
        <v>2012</v>
      </c>
      <c r="P21" t="s">
        <v>33</v>
      </c>
      <c r="Q21" s="2">
        <v>0.1356</v>
      </c>
      <c r="R21" t="s">
        <v>26</v>
      </c>
      <c r="S21">
        <v>42</v>
      </c>
      <c r="T21" t="s">
        <v>27</v>
      </c>
    </row>
    <row r="22" spans="1:20" x14ac:dyDescent="0.35">
      <c r="A22" t="s">
        <v>34</v>
      </c>
      <c r="B22" t="s">
        <v>77</v>
      </c>
      <c r="C22" t="s">
        <v>22</v>
      </c>
      <c r="D22" t="s">
        <v>31</v>
      </c>
      <c r="E22" t="s">
        <v>37</v>
      </c>
      <c r="F22" s="1">
        <v>41773</v>
      </c>
      <c r="G22">
        <v>819028031</v>
      </c>
      <c r="H22" s="1">
        <v>41818</v>
      </c>
      <c r="I22">
        <v>7450</v>
      </c>
      <c r="J22">
        <v>255.28</v>
      </c>
      <c r="K22">
        <v>159.41999999999999</v>
      </c>
      <c r="L22">
        <v>1901836</v>
      </c>
      <c r="M22">
        <v>1187679</v>
      </c>
      <c r="N22">
        <v>714157</v>
      </c>
      <c r="O22">
        <v>2014</v>
      </c>
      <c r="P22" t="s">
        <v>25</v>
      </c>
      <c r="Q22" s="2">
        <v>0.3755</v>
      </c>
      <c r="R22" t="s">
        <v>26</v>
      </c>
      <c r="S22">
        <v>45</v>
      </c>
      <c r="T22" t="s">
        <v>27</v>
      </c>
    </row>
    <row r="23" spans="1:20" x14ac:dyDescent="0.35">
      <c r="A23" t="s">
        <v>34</v>
      </c>
      <c r="B23" t="s">
        <v>78</v>
      </c>
      <c r="C23" t="s">
        <v>22</v>
      </c>
      <c r="D23" t="s">
        <v>31</v>
      </c>
      <c r="E23" t="s">
        <v>24</v>
      </c>
      <c r="F23" s="1">
        <v>42216</v>
      </c>
      <c r="G23">
        <v>860673511</v>
      </c>
      <c r="H23" s="1">
        <v>42250</v>
      </c>
      <c r="I23">
        <v>1273</v>
      </c>
      <c r="J23">
        <v>255.28</v>
      </c>
      <c r="K23">
        <v>159.41999999999999</v>
      </c>
      <c r="L23">
        <v>324971.44</v>
      </c>
      <c r="M23">
        <v>202941.66</v>
      </c>
      <c r="N23">
        <v>122029.78</v>
      </c>
      <c r="O23">
        <v>2015</v>
      </c>
      <c r="P23" t="s">
        <v>33</v>
      </c>
      <c r="Q23" s="2">
        <v>0.3755</v>
      </c>
      <c r="R23" t="s">
        <v>26</v>
      </c>
      <c r="S23">
        <v>34</v>
      </c>
      <c r="T23" t="s">
        <v>27</v>
      </c>
    </row>
    <row r="24" spans="1:20" x14ac:dyDescent="0.35">
      <c r="A24" t="s">
        <v>28</v>
      </c>
      <c r="B24" t="s">
        <v>65</v>
      </c>
      <c r="C24" t="s">
        <v>79</v>
      </c>
      <c r="D24" t="s">
        <v>31</v>
      </c>
      <c r="E24" t="s">
        <v>37</v>
      </c>
      <c r="F24" s="1">
        <v>42551</v>
      </c>
      <c r="G24">
        <v>795490682</v>
      </c>
      <c r="H24" s="1">
        <v>42577</v>
      </c>
      <c r="I24">
        <v>2225</v>
      </c>
      <c r="J24">
        <v>152.58000000000001</v>
      </c>
      <c r="K24">
        <v>97.44</v>
      </c>
      <c r="L24">
        <v>339490.5</v>
      </c>
      <c r="M24">
        <v>216804</v>
      </c>
      <c r="N24">
        <v>122686.5</v>
      </c>
      <c r="O24">
        <v>2016</v>
      </c>
      <c r="P24" t="s">
        <v>43</v>
      </c>
      <c r="Q24" s="2">
        <v>0.3614</v>
      </c>
      <c r="R24" t="s">
        <v>26</v>
      </c>
      <c r="S24">
        <v>26</v>
      </c>
      <c r="T24" t="s">
        <v>27</v>
      </c>
    </row>
    <row r="25" spans="1:20" x14ac:dyDescent="0.35">
      <c r="A25" t="s">
        <v>20</v>
      </c>
      <c r="B25" t="s">
        <v>80</v>
      </c>
      <c r="C25" t="s">
        <v>42</v>
      </c>
      <c r="D25" t="s">
        <v>31</v>
      </c>
      <c r="E25" t="s">
        <v>24</v>
      </c>
      <c r="F25" s="1">
        <v>41890</v>
      </c>
      <c r="G25">
        <v>142278373</v>
      </c>
      <c r="H25" s="1">
        <v>41916</v>
      </c>
      <c r="I25">
        <v>2187</v>
      </c>
      <c r="J25">
        <v>9.33</v>
      </c>
      <c r="K25">
        <v>6.92</v>
      </c>
      <c r="L25">
        <v>20404.71</v>
      </c>
      <c r="M25">
        <v>15134.04</v>
      </c>
      <c r="N25">
        <v>5270.67</v>
      </c>
      <c r="O25">
        <v>2014</v>
      </c>
      <c r="P25" t="s">
        <v>81</v>
      </c>
      <c r="Q25" s="2">
        <v>0.25829999999999997</v>
      </c>
      <c r="R25" t="s">
        <v>44</v>
      </c>
      <c r="S25">
        <v>26</v>
      </c>
      <c r="T25" t="s">
        <v>27</v>
      </c>
    </row>
    <row r="26" spans="1:20" x14ac:dyDescent="0.35">
      <c r="A26" t="s">
        <v>34</v>
      </c>
      <c r="B26" t="s">
        <v>82</v>
      </c>
      <c r="C26" t="s">
        <v>56</v>
      </c>
      <c r="D26" t="s">
        <v>31</v>
      </c>
      <c r="E26" t="s">
        <v>37</v>
      </c>
      <c r="F26" s="1">
        <v>42497</v>
      </c>
      <c r="G26">
        <v>740147912</v>
      </c>
      <c r="H26" s="1">
        <v>42500</v>
      </c>
      <c r="I26">
        <v>5070</v>
      </c>
      <c r="J26">
        <v>81.73</v>
      </c>
      <c r="K26">
        <v>56.67</v>
      </c>
      <c r="L26">
        <v>414371.1</v>
      </c>
      <c r="M26">
        <v>287316.90000000002</v>
      </c>
      <c r="N26">
        <v>127054.2</v>
      </c>
      <c r="O26">
        <v>2016</v>
      </c>
      <c r="P26" t="s">
        <v>38</v>
      </c>
      <c r="Q26" s="2">
        <v>0.30659999999999998</v>
      </c>
      <c r="R26" t="s">
        <v>26</v>
      </c>
      <c r="S26">
        <v>3</v>
      </c>
      <c r="T26" t="s">
        <v>39</v>
      </c>
    </row>
    <row r="27" spans="1:20" x14ac:dyDescent="0.35">
      <c r="A27" t="s">
        <v>34</v>
      </c>
      <c r="B27" t="s">
        <v>83</v>
      </c>
      <c r="C27" t="s">
        <v>69</v>
      </c>
      <c r="D27" t="s">
        <v>31</v>
      </c>
      <c r="E27" t="s">
        <v>24</v>
      </c>
      <c r="F27" s="1">
        <v>42877</v>
      </c>
      <c r="G27">
        <v>898523128</v>
      </c>
      <c r="H27" s="1">
        <v>42891</v>
      </c>
      <c r="I27">
        <v>1815</v>
      </c>
      <c r="J27">
        <v>437.2</v>
      </c>
      <c r="K27">
        <v>263.33</v>
      </c>
      <c r="L27">
        <v>793518</v>
      </c>
      <c r="M27">
        <v>477943.95</v>
      </c>
      <c r="N27">
        <v>315574.05</v>
      </c>
      <c r="O27">
        <v>2017</v>
      </c>
      <c r="P27" t="s">
        <v>25</v>
      </c>
      <c r="Q27" s="2">
        <v>0.3977</v>
      </c>
      <c r="R27" t="s">
        <v>26</v>
      </c>
      <c r="S27">
        <v>14</v>
      </c>
      <c r="T27" t="s">
        <v>45</v>
      </c>
    </row>
    <row r="28" spans="1:20" x14ac:dyDescent="0.35">
      <c r="A28" t="s">
        <v>20</v>
      </c>
      <c r="B28" t="s">
        <v>84</v>
      </c>
      <c r="C28" t="s">
        <v>42</v>
      </c>
      <c r="D28" t="s">
        <v>31</v>
      </c>
      <c r="E28" t="s">
        <v>51</v>
      </c>
      <c r="F28" s="1">
        <v>41925</v>
      </c>
      <c r="G28">
        <v>347140347</v>
      </c>
      <c r="H28" s="1">
        <v>41953</v>
      </c>
      <c r="I28">
        <v>5398</v>
      </c>
      <c r="J28">
        <v>9.33</v>
      </c>
      <c r="K28">
        <v>6.92</v>
      </c>
      <c r="L28">
        <v>50363.34</v>
      </c>
      <c r="M28">
        <v>37354.160000000003</v>
      </c>
      <c r="N28">
        <v>13009.18</v>
      </c>
      <c r="O28">
        <v>2014</v>
      </c>
      <c r="P28" t="s">
        <v>85</v>
      </c>
      <c r="Q28" s="2">
        <v>0.25829999999999997</v>
      </c>
      <c r="R28" t="s">
        <v>44</v>
      </c>
      <c r="S28">
        <v>28</v>
      </c>
      <c r="T28" t="s">
        <v>27</v>
      </c>
    </row>
    <row r="29" spans="1:20" x14ac:dyDescent="0.35">
      <c r="A29" t="s">
        <v>40</v>
      </c>
      <c r="B29" t="s">
        <v>86</v>
      </c>
      <c r="C29" t="s">
        <v>42</v>
      </c>
      <c r="D29" t="s">
        <v>31</v>
      </c>
      <c r="E29" t="s">
        <v>37</v>
      </c>
      <c r="F29" s="1">
        <v>40305</v>
      </c>
      <c r="G29">
        <v>686048400</v>
      </c>
      <c r="H29" s="1">
        <v>40308</v>
      </c>
      <c r="I29">
        <v>5822</v>
      </c>
      <c r="J29">
        <v>9.33</v>
      </c>
      <c r="K29">
        <v>6.92</v>
      </c>
      <c r="L29">
        <v>54319.26</v>
      </c>
      <c r="M29">
        <v>40288.239999999998</v>
      </c>
      <c r="N29">
        <v>14031.02</v>
      </c>
      <c r="O29">
        <v>2010</v>
      </c>
      <c r="P29" t="s">
        <v>38</v>
      </c>
      <c r="Q29" s="2">
        <v>0.25829999999999997</v>
      </c>
      <c r="R29" t="s">
        <v>44</v>
      </c>
      <c r="S29">
        <v>3</v>
      </c>
      <c r="T29" t="s">
        <v>39</v>
      </c>
    </row>
    <row r="30" spans="1:20" x14ac:dyDescent="0.35">
      <c r="A30" t="s">
        <v>34</v>
      </c>
      <c r="B30" t="s">
        <v>77</v>
      </c>
      <c r="C30" t="s">
        <v>72</v>
      </c>
      <c r="D30" t="s">
        <v>23</v>
      </c>
      <c r="E30" t="s">
        <v>32</v>
      </c>
      <c r="F30" s="1">
        <v>41838</v>
      </c>
      <c r="G30">
        <v>435608613</v>
      </c>
      <c r="H30" s="1">
        <v>41850</v>
      </c>
      <c r="I30">
        <v>5124</v>
      </c>
      <c r="J30">
        <v>47.45</v>
      </c>
      <c r="K30">
        <v>31.79</v>
      </c>
      <c r="L30">
        <v>243133.8</v>
      </c>
      <c r="M30">
        <v>162891.96</v>
      </c>
      <c r="N30">
        <v>80241.84</v>
      </c>
      <c r="O30">
        <v>2014</v>
      </c>
      <c r="P30" t="s">
        <v>43</v>
      </c>
      <c r="Q30" s="2">
        <v>0.33</v>
      </c>
      <c r="R30" t="s">
        <v>26</v>
      </c>
      <c r="S30">
        <v>12</v>
      </c>
      <c r="T30" t="s">
        <v>45</v>
      </c>
    </row>
    <row r="31" spans="1:20" x14ac:dyDescent="0.35">
      <c r="A31" t="s">
        <v>40</v>
      </c>
      <c r="B31" t="s">
        <v>87</v>
      </c>
      <c r="C31" t="s">
        <v>50</v>
      </c>
      <c r="D31" t="s">
        <v>23</v>
      </c>
      <c r="E31" t="s">
        <v>37</v>
      </c>
      <c r="F31" s="1">
        <v>41055</v>
      </c>
      <c r="G31">
        <v>886494815</v>
      </c>
      <c r="H31" s="1">
        <v>41069</v>
      </c>
      <c r="I31">
        <v>2370</v>
      </c>
      <c r="J31">
        <v>668.27</v>
      </c>
      <c r="K31">
        <v>502.54</v>
      </c>
      <c r="L31">
        <v>1583799.9</v>
      </c>
      <c r="M31">
        <v>1191019.8</v>
      </c>
      <c r="N31">
        <v>392780.1</v>
      </c>
      <c r="O31">
        <v>2012</v>
      </c>
      <c r="P31" t="s">
        <v>25</v>
      </c>
      <c r="Q31" s="2">
        <v>0.248</v>
      </c>
      <c r="R31" t="s">
        <v>26</v>
      </c>
      <c r="S31">
        <v>14</v>
      </c>
      <c r="T31" t="s">
        <v>45</v>
      </c>
    </row>
    <row r="32" spans="1:20" x14ac:dyDescent="0.35">
      <c r="A32" t="s">
        <v>34</v>
      </c>
      <c r="B32" t="s">
        <v>88</v>
      </c>
      <c r="C32" t="s">
        <v>69</v>
      </c>
      <c r="D32" t="s">
        <v>23</v>
      </c>
      <c r="E32" t="s">
        <v>51</v>
      </c>
      <c r="F32" s="1">
        <v>41169</v>
      </c>
      <c r="G32">
        <v>249693334</v>
      </c>
      <c r="H32" s="1">
        <v>41202</v>
      </c>
      <c r="I32">
        <v>8661</v>
      </c>
      <c r="J32">
        <v>437.2</v>
      </c>
      <c r="K32">
        <v>263.33</v>
      </c>
      <c r="L32">
        <v>3786589.2</v>
      </c>
      <c r="M32">
        <v>2280701.13</v>
      </c>
      <c r="N32">
        <v>1505888.07</v>
      </c>
      <c r="O32">
        <v>2012</v>
      </c>
      <c r="P32" t="s">
        <v>81</v>
      </c>
      <c r="Q32" s="2">
        <v>0.3977</v>
      </c>
      <c r="R32" t="s">
        <v>26</v>
      </c>
      <c r="S32">
        <v>33</v>
      </c>
      <c r="T32" t="s">
        <v>27</v>
      </c>
    </row>
    <row r="33" spans="1:20" x14ac:dyDescent="0.35">
      <c r="A33" t="s">
        <v>40</v>
      </c>
      <c r="B33" t="s">
        <v>89</v>
      </c>
      <c r="C33" t="s">
        <v>56</v>
      </c>
      <c r="D33" t="s">
        <v>23</v>
      </c>
      <c r="E33" t="s">
        <v>32</v>
      </c>
      <c r="F33" s="1">
        <v>41637</v>
      </c>
      <c r="G33">
        <v>406502997</v>
      </c>
      <c r="H33" s="1">
        <v>41667</v>
      </c>
      <c r="I33">
        <v>2125</v>
      </c>
      <c r="J33">
        <v>81.73</v>
      </c>
      <c r="K33">
        <v>56.67</v>
      </c>
      <c r="L33">
        <v>173676.25</v>
      </c>
      <c r="M33">
        <v>120423.75</v>
      </c>
      <c r="N33">
        <v>53252.5</v>
      </c>
      <c r="O33">
        <v>2014</v>
      </c>
      <c r="P33" t="s">
        <v>74</v>
      </c>
      <c r="Q33" s="2">
        <v>0.30659999999999998</v>
      </c>
      <c r="R33" t="s">
        <v>26</v>
      </c>
      <c r="S33">
        <v>30</v>
      </c>
      <c r="T33" t="s">
        <v>27</v>
      </c>
    </row>
    <row r="34" spans="1:20" x14ac:dyDescent="0.35">
      <c r="A34" t="s">
        <v>20</v>
      </c>
      <c r="B34" t="s">
        <v>90</v>
      </c>
      <c r="C34" t="s">
        <v>36</v>
      </c>
      <c r="D34" t="s">
        <v>31</v>
      </c>
      <c r="E34" t="s">
        <v>32</v>
      </c>
      <c r="F34" s="1">
        <v>42304</v>
      </c>
      <c r="G34">
        <v>158535134</v>
      </c>
      <c r="H34" s="1">
        <v>42333</v>
      </c>
      <c r="I34">
        <v>2924</v>
      </c>
      <c r="J34">
        <v>651.21</v>
      </c>
      <c r="K34">
        <v>524.96</v>
      </c>
      <c r="L34">
        <v>1904138.04</v>
      </c>
      <c r="M34">
        <v>1534983.04</v>
      </c>
      <c r="N34">
        <v>369155</v>
      </c>
      <c r="O34">
        <v>2015</v>
      </c>
      <c r="P34" t="s">
        <v>85</v>
      </c>
      <c r="Q34" s="2">
        <v>0.19389999999999999</v>
      </c>
      <c r="R34" t="s">
        <v>26</v>
      </c>
      <c r="S34">
        <v>29</v>
      </c>
      <c r="T34" t="s">
        <v>27</v>
      </c>
    </row>
    <row r="35" spans="1:20" x14ac:dyDescent="0.35">
      <c r="A35" t="s">
        <v>59</v>
      </c>
      <c r="B35" t="s">
        <v>91</v>
      </c>
      <c r="C35" t="s">
        <v>50</v>
      </c>
      <c r="D35" t="s">
        <v>23</v>
      </c>
      <c r="E35" t="s">
        <v>24</v>
      </c>
      <c r="F35" s="1">
        <v>42020</v>
      </c>
      <c r="G35">
        <v>177713572</v>
      </c>
      <c r="H35" s="1">
        <v>42064</v>
      </c>
      <c r="I35">
        <v>8250</v>
      </c>
      <c r="J35">
        <v>668.27</v>
      </c>
      <c r="K35">
        <v>502.54</v>
      </c>
      <c r="L35">
        <v>5513227.5</v>
      </c>
      <c r="M35">
        <v>4145955</v>
      </c>
      <c r="N35">
        <v>1367272.5</v>
      </c>
      <c r="O35">
        <v>2015</v>
      </c>
      <c r="P35" t="s">
        <v>64</v>
      </c>
      <c r="Q35" s="2">
        <v>0.248</v>
      </c>
      <c r="R35" t="s">
        <v>26</v>
      </c>
      <c r="S35">
        <v>44</v>
      </c>
      <c r="T35" t="s">
        <v>27</v>
      </c>
    </row>
    <row r="36" spans="1:20" x14ac:dyDescent="0.35">
      <c r="A36" t="s">
        <v>40</v>
      </c>
      <c r="B36" t="s">
        <v>92</v>
      </c>
      <c r="C36" t="s">
        <v>79</v>
      </c>
      <c r="D36" t="s">
        <v>31</v>
      </c>
      <c r="E36" t="s">
        <v>51</v>
      </c>
      <c r="F36" s="1">
        <v>42791</v>
      </c>
      <c r="G36">
        <v>756274640</v>
      </c>
      <c r="H36" s="1">
        <v>42791</v>
      </c>
      <c r="I36">
        <v>7327</v>
      </c>
      <c r="J36">
        <v>152.58000000000001</v>
      </c>
      <c r="K36">
        <v>97.44</v>
      </c>
      <c r="L36">
        <v>1117953.6599999999</v>
      </c>
      <c r="M36">
        <v>713942.88</v>
      </c>
      <c r="N36">
        <v>404010.78</v>
      </c>
      <c r="O36">
        <v>2017</v>
      </c>
      <c r="P36" t="s">
        <v>47</v>
      </c>
      <c r="Q36" s="2">
        <v>0.3614</v>
      </c>
      <c r="R36" t="s">
        <v>26</v>
      </c>
      <c r="S36">
        <v>0</v>
      </c>
      <c r="T36" t="s">
        <v>39</v>
      </c>
    </row>
    <row r="37" spans="1:20" x14ac:dyDescent="0.35">
      <c r="A37" t="s">
        <v>28</v>
      </c>
      <c r="B37" t="s">
        <v>93</v>
      </c>
      <c r="C37" t="s">
        <v>56</v>
      </c>
      <c r="D37" t="s">
        <v>23</v>
      </c>
      <c r="E37" t="s">
        <v>37</v>
      </c>
      <c r="F37" s="1">
        <v>42863</v>
      </c>
      <c r="G37">
        <v>456767165</v>
      </c>
      <c r="H37" s="1">
        <v>42876</v>
      </c>
      <c r="I37">
        <v>6409</v>
      </c>
      <c r="J37">
        <v>81.73</v>
      </c>
      <c r="K37">
        <v>56.67</v>
      </c>
      <c r="L37">
        <v>523807.57</v>
      </c>
      <c r="M37">
        <v>363198.03</v>
      </c>
      <c r="N37">
        <v>160609.54</v>
      </c>
      <c r="O37">
        <v>2017</v>
      </c>
      <c r="P37" t="s">
        <v>38</v>
      </c>
      <c r="Q37" s="2">
        <v>0.30659999999999998</v>
      </c>
      <c r="R37" t="s">
        <v>26</v>
      </c>
      <c r="S37">
        <v>13</v>
      </c>
      <c r="T37" t="s">
        <v>45</v>
      </c>
    </row>
    <row r="38" spans="1:20" x14ac:dyDescent="0.35">
      <c r="A38" t="s">
        <v>94</v>
      </c>
      <c r="B38" t="s">
        <v>95</v>
      </c>
      <c r="C38" t="s">
        <v>42</v>
      </c>
      <c r="D38" t="s">
        <v>31</v>
      </c>
      <c r="E38" t="s">
        <v>37</v>
      </c>
      <c r="F38" s="1">
        <v>40869</v>
      </c>
      <c r="G38">
        <v>162052476</v>
      </c>
      <c r="H38" s="1">
        <v>40880</v>
      </c>
      <c r="I38">
        <v>3784</v>
      </c>
      <c r="J38">
        <v>9.33</v>
      </c>
      <c r="K38">
        <v>6.92</v>
      </c>
      <c r="L38">
        <v>35304.720000000001</v>
      </c>
      <c r="M38">
        <v>26185.279999999999</v>
      </c>
      <c r="N38">
        <v>9119.44</v>
      </c>
      <c r="O38">
        <v>2011</v>
      </c>
      <c r="P38" t="s">
        <v>70</v>
      </c>
      <c r="Q38" s="2">
        <v>0.25829999999999997</v>
      </c>
      <c r="R38" t="s">
        <v>44</v>
      </c>
      <c r="S38">
        <v>11</v>
      </c>
      <c r="T38" t="s">
        <v>45</v>
      </c>
    </row>
    <row r="39" spans="1:20" x14ac:dyDescent="0.35">
      <c r="A39" t="s">
        <v>40</v>
      </c>
      <c r="B39" t="s">
        <v>87</v>
      </c>
      <c r="C39" t="s">
        <v>76</v>
      </c>
      <c r="D39" t="s">
        <v>31</v>
      </c>
      <c r="E39" t="s">
        <v>51</v>
      </c>
      <c r="F39" s="1">
        <v>42749</v>
      </c>
      <c r="G39">
        <v>825304400</v>
      </c>
      <c r="H39" s="1">
        <v>42758</v>
      </c>
      <c r="I39">
        <v>4767</v>
      </c>
      <c r="J39">
        <v>421.89</v>
      </c>
      <c r="K39">
        <v>364.69</v>
      </c>
      <c r="L39">
        <v>2011149.63</v>
      </c>
      <c r="M39">
        <v>1738477.23</v>
      </c>
      <c r="N39">
        <v>272672.40000000002</v>
      </c>
      <c r="O39">
        <v>2017</v>
      </c>
      <c r="P39" t="s">
        <v>74</v>
      </c>
      <c r="Q39" s="2">
        <v>0.1356</v>
      </c>
      <c r="R39" t="s">
        <v>26</v>
      </c>
      <c r="S39">
        <v>9</v>
      </c>
      <c r="T39" t="s">
        <v>39</v>
      </c>
    </row>
    <row r="40" spans="1:20" x14ac:dyDescent="0.35">
      <c r="A40" t="s">
        <v>59</v>
      </c>
      <c r="B40" t="s">
        <v>96</v>
      </c>
      <c r="C40" t="s">
        <v>36</v>
      </c>
      <c r="D40" t="s">
        <v>31</v>
      </c>
      <c r="E40" t="s">
        <v>37</v>
      </c>
      <c r="F40" s="1">
        <v>41000</v>
      </c>
      <c r="G40">
        <v>320009267</v>
      </c>
      <c r="H40" s="1">
        <v>41037</v>
      </c>
      <c r="I40">
        <v>6708</v>
      </c>
      <c r="J40">
        <v>651.21</v>
      </c>
      <c r="K40">
        <v>524.96</v>
      </c>
      <c r="L40">
        <v>4368316.68</v>
      </c>
      <c r="M40">
        <v>3521431.68</v>
      </c>
      <c r="N40">
        <v>846885</v>
      </c>
      <c r="O40">
        <v>2012</v>
      </c>
      <c r="P40" t="s">
        <v>38</v>
      </c>
      <c r="Q40" s="2">
        <v>0.19389999999999999</v>
      </c>
      <c r="R40" t="s">
        <v>26</v>
      </c>
      <c r="S40">
        <v>37</v>
      </c>
      <c r="T40" t="s">
        <v>27</v>
      </c>
    </row>
    <row r="41" spans="1:20" x14ac:dyDescent="0.35">
      <c r="A41" t="s">
        <v>34</v>
      </c>
      <c r="B41" t="s">
        <v>67</v>
      </c>
      <c r="C41" t="s">
        <v>36</v>
      </c>
      <c r="D41" t="s">
        <v>31</v>
      </c>
      <c r="E41" t="s">
        <v>51</v>
      </c>
      <c r="F41" s="1">
        <v>40955</v>
      </c>
      <c r="G41">
        <v>189965903</v>
      </c>
      <c r="H41" s="1">
        <v>40967</v>
      </c>
      <c r="I41">
        <v>3987</v>
      </c>
      <c r="J41">
        <v>651.21</v>
      </c>
      <c r="K41">
        <v>524.96</v>
      </c>
      <c r="L41">
        <v>2596374.27</v>
      </c>
      <c r="M41">
        <v>2093015.52</v>
      </c>
      <c r="N41">
        <v>503358.75</v>
      </c>
      <c r="O41">
        <v>2012</v>
      </c>
      <c r="P41" t="s">
        <v>47</v>
      </c>
      <c r="Q41" s="2">
        <v>0.19389999999999999</v>
      </c>
      <c r="R41" t="s">
        <v>26</v>
      </c>
      <c r="S41">
        <v>12</v>
      </c>
      <c r="T41" t="s">
        <v>45</v>
      </c>
    </row>
    <row r="42" spans="1:20" x14ac:dyDescent="0.35">
      <c r="A42" t="s">
        <v>40</v>
      </c>
      <c r="B42" t="s">
        <v>97</v>
      </c>
      <c r="C42" t="s">
        <v>56</v>
      </c>
      <c r="D42" t="s">
        <v>31</v>
      </c>
      <c r="E42" t="s">
        <v>24</v>
      </c>
      <c r="F42" s="1">
        <v>42805</v>
      </c>
      <c r="G42">
        <v>699285638</v>
      </c>
      <c r="H42" s="1">
        <v>42822</v>
      </c>
      <c r="I42">
        <v>3015</v>
      </c>
      <c r="J42">
        <v>81.73</v>
      </c>
      <c r="K42">
        <v>56.67</v>
      </c>
      <c r="L42">
        <v>246415.95</v>
      </c>
      <c r="M42">
        <v>170860.05</v>
      </c>
      <c r="N42">
        <v>75555.899999999994</v>
      </c>
      <c r="O42">
        <v>2017</v>
      </c>
      <c r="P42" t="s">
        <v>64</v>
      </c>
      <c r="Q42" s="2">
        <v>0.30659999999999998</v>
      </c>
      <c r="R42" t="s">
        <v>26</v>
      </c>
      <c r="S42">
        <v>17</v>
      </c>
      <c r="T42" t="s">
        <v>45</v>
      </c>
    </row>
    <row r="43" spans="1:20" x14ac:dyDescent="0.35">
      <c r="A43" t="s">
        <v>94</v>
      </c>
      <c r="B43" t="s">
        <v>98</v>
      </c>
      <c r="C43" t="s">
        <v>69</v>
      </c>
      <c r="D43" t="s">
        <v>31</v>
      </c>
      <c r="E43" t="s">
        <v>51</v>
      </c>
      <c r="F43" s="1">
        <v>40215</v>
      </c>
      <c r="G43">
        <v>382392299</v>
      </c>
      <c r="H43" s="1">
        <v>40234</v>
      </c>
      <c r="I43">
        <v>7234</v>
      </c>
      <c r="J43">
        <v>437.2</v>
      </c>
      <c r="K43">
        <v>263.33</v>
      </c>
      <c r="L43">
        <v>3162704.8</v>
      </c>
      <c r="M43">
        <v>1904929.22</v>
      </c>
      <c r="N43">
        <v>1257775.58</v>
      </c>
      <c r="O43">
        <v>2010</v>
      </c>
      <c r="P43" t="s">
        <v>47</v>
      </c>
      <c r="Q43" s="2">
        <v>0.3977</v>
      </c>
      <c r="R43" t="s">
        <v>26</v>
      </c>
      <c r="S43">
        <v>19</v>
      </c>
      <c r="T43" t="s">
        <v>45</v>
      </c>
    </row>
    <row r="44" spans="1:20" x14ac:dyDescent="0.35">
      <c r="A44" t="s">
        <v>40</v>
      </c>
      <c r="B44" t="s">
        <v>87</v>
      </c>
      <c r="C44" t="s">
        <v>30</v>
      </c>
      <c r="D44" t="s">
        <v>23</v>
      </c>
      <c r="E44" t="s">
        <v>24</v>
      </c>
      <c r="F44" s="1">
        <v>41067</v>
      </c>
      <c r="G44">
        <v>994022214</v>
      </c>
      <c r="H44" s="1">
        <v>41068</v>
      </c>
      <c r="I44">
        <v>2117</v>
      </c>
      <c r="J44">
        <v>205.7</v>
      </c>
      <c r="K44">
        <v>117.11</v>
      </c>
      <c r="L44">
        <v>435466.9</v>
      </c>
      <c r="M44">
        <v>247921.87</v>
      </c>
      <c r="N44">
        <v>187545.03</v>
      </c>
      <c r="O44">
        <v>2012</v>
      </c>
      <c r="P44" t="s">
        <v>25</v>
      </c>
      <c r="Q44" s="2">
        <v>0.43070000000000003</v>
      </c>
      <c r="R44" t="s">
        <v>26</v>
      </c>
      <c r="S44">
        <v>1</v>
      </c>
      <c r="T44" t="s">
        <v>39</v>
      </c>
    </row>
    <row r="45" spans="1:20" x14ac:dyDescent="0.35">
      <c r="A45" t="s">
        <v>34</v>
      </c>
      <c r="B45" t="s">
        <v>99</v>
      </c>
      <c r="C45" t="s">
        <v>54</v>
      </c>
      <c r="D45" t="s">
        <v>31</v>
      </c>
      <c r="E45" t="s">
        <v>24</v>
      </c>
      <c r="F45" s="1">
        <v>41188</v>
      </c>
      <c r="G45">
        <v>759224212</v>
      </c>
      <c r="H45" s="1">
        <v>41223</v>
      </c>
      <c r="I45">
        <v>171</v>
      </c>
      <c r="J45">
        <v>154.06</v>
      </c>
      <c r="K45">
        <v>90.93</v>
      </c>
      <c r="L45">
        <v>26344.26</v>
      </c>
      <c r="M45">
        <v>15549.03</v>
      </c>
      <c r="N45">
        <v>10795.23</v>
      </c>
      <c r="O45">
        <v>2012</v>
      </c>
      <c r="P45" t="s">
        <v>85</v>
      </c>
      <c r="Q45" s="2">
        <v>0.4098</v>
      </c>
      <c r="R45" t="s">
        <v>44</v>
      </c>
      <c r="S45">
        <v>35</v>
      </c>
      <c r="T45" t="s">
        <v>27</v>
      </c>
    </row>
    <row r="46" spans="1:20" x14ac:dyDescent="0.35">
      <c r="A46" t="s">
        <v>59</v>
      </c>
      <c r="B46" t="s">
        <v>91</v>
      </c>
      <c r="C46" t="s">
        <v>62</v>
      </c>
      <c r="D46" t="s">
        <v>31</v>
      </c>
      <c r="E46" t="s">
        <v>24</v>
      </c>
      <c r="F46" s="1">
        <v>42322</v>
      </c>
      <c r="G46">
        <v>223359620</v>
      </c>
      <c r="H46" s="1">
        <v>42326</v>
      </c>
      <c r="I46">
        <v>5930</v>
      </c>
      <c r="J46">
        <v>109.28</v>
      </c>
      <c r="K46">
        <v>35.840000000000003</v>
      </c>
      <c r="L46">
        <v>648030.4</v>
      </c>
      <c r="M46">
        <v>212531.20000000001</v>
      </c>
      <c r="N46">
        <v>435499.2</v>
      </c>
      <c r="O46">
        <v>2015</v>
      </c>
      <c r="P46" t="s">
        <v>85</v>
      </c>
      <c r="Q46" s="2">
        <v>0.67200000000000004</v>
      </c>
      <c r="R46" t="s">
        <v>26</v>
      </c>
      <c r="S46">
        <v>4</v>
      </c>
      <c r="T46" t="s">
        <v>39</v>
      </c>
    </row>
    <row r="47" spans="1:20" x14ac:dyDescent="0.35">
      <c r="A47" t="s">
        <v>40</v>
      </c>
      <c r="B47" t="s">
        <v>100</v>
      </c>
      <c r="C47" t="s">
        <v>30</v>
      </c>
      <c r="D47" t="s">
        <v>23</v>
      </c>
      <c r="E47" t="s">
        <v>24</v>
      </c>
      <c r="F47" s="1">
        <v>42458</v>
      </c>
      <c r="G47">
        <v>902102267</v>
      </c>
      <c r="H47" s="1">
        <v>42489</v>
      </c>
      <c r="I47">
        <v>962</v>
      </c>
      <c r="J47">
        <v>205.7</v>
      </c>
      <c r="K47">
        <v>117.11</v>
      </c>
      <c r="L47">
        <v>197883.4</v>
      </c>
      <c r="M47">
        <v>112659.82</v>
      </c>
      <c r="N47">
        <v>85223.58</v>
      </c>
      <c r="O47">
        <v>2016</v>
      </c>
      <c r="P47" t="s">
        <v>52</v>
      </c>
      <c r="Q47" s="2">
        <v>0.43070000000000003</v>
      </c>
      <c r="R47" t="s">
        <v>26</v>
      </c>
      <c r="S47">
        <v>31</v>
      </c>
      <c r="T47" t="s">
        <v>27</v>
      </c>
    </row>
    <row r="48" spans="1:20" x14ac:dyDescent="0.35">
      <c r="A48" t="s">
        <v>34</v>
      </c>
      <c r="B48" t="s">
        <v>101</v>
      </c>
      <c r="C48" t="s">
        <v>69</v>
      </c>
      <c r="D48" t="s">
        <v>31</v>
      </c>
      <c r="E48" t="s">
        <v>32</v>
      </c>
      <c r="F48" s="1">
        <v>42735</v>
      </c>
      <c r="G48">
        <v>331438481</v>
      </c>
      <c r="H48" s="1">
        <v>42735</v>
      </c>
      <c r="I48">
        <v>8867</v>
      </c>
      <c r="J48">
        <v>437.2</v>
      </c>
      <c r="K48">
        <v>263.33</v>
      </c>
      <c r="L48">
        <v>3876652.4</v>
      </c>
      <c r="M48">
        <v>2334947.11</v>
      </c>
      <c r="N48">
        <v>1541705.29</v>
      </c>
      <c r="O48">
        <v>2016</v>
      </c>
      <c r="P48" t="s">
        <v>70</v>
      </c>
      <c r="Q48" s="2">
        <v>0.3977</v>
      </c>
      <c r="R48" t="s">
        <v>26</v>
      </c>
      <c r="S48">
        <v>0</v>
      </c>
      <c r="T48" t="s">
        <v>39</v>
      </c>
    </row>
    <row r="49" spans="1:20" x14ac:dyDescent="0.35">
      <c r="A49" t="s">
        <v>34</v>
      </c>
      <c r="B49" t="s">
        <v>88</v>
      </c>
      <c r="C49" t="s">
        <v>56</v>
      </c>
      <c r="D49" t="s">
        <v>31</v>
      </c>
      <c r="E49" t="s">
        <v>51</v>
      </c>
      <c r="F49" s="1">
        <v>40535</v>
      </c>
      <c r="G49">
        <v>617667090</v>
      </c>
      <c r="H49" s="1">
        <v>40574</v>
      </c>
      <c r="I49">
        <v>273</v>
      </c>
      <c r="J49">
        <v>81.73</v>
      </c>
      <c r="K49">
        <v>56.67</v>
      </c>
      <c r="L49">
        <v>22312.29</v>
      </c>
      <c r="M49">
        <v>15470.91</v>
      </c>
      <c r="N49">
        <v>6841.38</v>
      </c>
      <c r="O49">
        <v>2011</v>
      </c>
      <c r="P49" t="s">
        <v>74</v>
      </c>
      <c r="Q49" s="2">
        <v>0.30659999999999998</v>
      </c>
      <c r="R49" t="s">
        <v>44</v>
      </c>
      <c r="S49">
        <v>39</v>
      </c>
      <c r="T49" t="s">
        <v>27</v>
      </c>
    </row>
    <row r="50" spans="1:20" x14ac:dyDescent="0.35">
      <c r="A50" t="s">
        <v>34</v>
      </c>
      <c r="B50" t="s">
        <v>102</v>
      </c>
      <c r="C50" t="s">
        <v>62</v>
      </c>
      <c r="D50" t="s">
        <v>23</v>
      </c>
      <c r="E50" t="s">
        <v>32</v>
      </c>
      <c r="F50" s="1">
        <v>41926</v>
      </c>
      <c r="G50">
        <v>787399423</v>
      </c>
      <c r="H50" s="1">
        <v>41957</v>
      </c>
      <c r="I50">
        <v>7842</v>
      </c>
      <c r="J50">
        <v>109.28</v>
      </c>
      <c r="K50">
        <v>35.840000000000003</v>
      </c>
      <c r="L50">
        <v>856973.76</v>
      </c>
      <c r="M50">
        <v>281057.28000000003</v>
      </c>
      <c r="N50">
        <v>575916.48</v>
      </c>
      <c r="O50">
        <v>2014</v>
      </c>
      <c r="P50" t="s">
        <v>85</v>
      </c>
      <c r="Q50" s="2">
        <v>0.67200000000000004</v>
      </c>
      <c r="R50" t="s">
        <v>26</v>
      </c>
      <c r="S50">
        <v>31</v>
      </c>
      <c r="T50" t="s">
        <v>27</v>
      </c>
    </row>
    <row r="51" spans="1:20" x14ac:dyDescent="0.35">
      <c r="A51" t="s">
        <v>40</v>
      </c>
      <c r="B51" t="s">
        <v>103</v>
      </c>
      <c r="C51" t="s">
        <v>36</v>
      </c>
      <c r="D51" t="s">
        <v>23</v>
      </c>
      <c r="E51" t="s">
        <v>32</v>
      </c>
      <c r="F51" s="1">
        <v>40919</v>
      </c>
      <c r="G51">
        <v>837559306</v>
      </c>
      <c r="H51" s="1">
        <v>40921</v>
      </c>
      <c r="I51">
        <v>1266</v>
      </c>
      <c r="J51">
        <v>651.21</v>
      </c>
      <c r="K51">
        <v>524.96</v>
      </c>
      <c r="L51">
        <v>824431.86</v>
      </c>
      <c r="M51">
        <v>664599.36</v>
      </c>
      <c r="N51">
        <v>159832.5</v>
      </c>
      <c r="O51">
        <v>2012</v>
      </c>
      <c r="P51" t="s">
        <v>74</v>
      </c>
      <c r="Q51" s="2">
        <v>0.19389999999999999</v>
      </c>
      <c r="R51" t="s">
        <v>26</v>
      </c>
      <c r="S51">
        <v>2</v>
      </c>
      <c r="T51" t="s">
        <v>39</v>
      </c>
    </row>
    <row r="52" spans="1:20" x14ac:dyDescent="0.35">
      <c r="A52" t="s">
        <v>34</v>
      </c>
      <c r="B52" t="s">
        <v>104</v>
      </c>
      <c r="C52" t="s">
        <v>62</v>
      </c>
      <c r="D52" t="s">
        <v>31</v>
      </c>
      <c r="E52" t="s">
        <v>32</v>
      </c>
      <c r="F52" s="1">
        <v>40211</v>
      </c>
      <c r="G52">
        <v>385383069</v>
      </c>
      <c r="H52" s="1">
        <v>40255</v>
      </c>
      <c r="I52">
        <v>2269</v>
      </c>
      <c r="J52">
        <v>109.28</v>
      </c>
      <c r="K52">
        <v>35.840000000000003</v>
      </c>
      <c r="L52">
        <v>247956.32</v>
      </c>
      <c r="M52">
        <v>81320.960000000006</v>
      </c>
      <c r="N52">
        <v>166635.35999999999</v>
      </c>
      <c r="O52">
        <v>2010</v>
      </c>
      <c r="P52" t="s">
        <v>64</v>
      </c>
      <c r="Q52" s="2">
        <v>0.67200000000000004</v>
      </c>
      <c r="R52" t="s">
        <v>26</v>
      </c>
      <c r="S52">
        <v>44</v>
      </c>
      <c r="T52" t="s">
        <v>27</v>
      </c>
    </row>
    <row r="53" spans="1:20" x14ac:dyDescent="0.35">
      <c r="A53" t="s">
        <v>40</v>
      </c>
      <c r="B53" t="s">
        <v>105</v>
      </c>
      <c r="C53" t="s">
        <v>42</v>
      </c>
      <c r="D53" t="s">
        <v>31</v>
      </c>
      <c r="E53" t="s">
        <v>37</v>
      </c>
      <c r="F53" s="1">
        <v>41504</v>
      </c>
      <c r="G53">
        <v>918419539</v>
      </c>
      <c r="H53" s="1">
        <v>41535</v>
      </c>
      <c r="I53">
        <v>9606</v>
      </c>
      <c r="J53">
        <v>9.33</v>
      </c>
      <c r="K53">
        <v>6.92</v>
      </c>
      <c r="L53">
        <v>89623.98</v>
      </c>
      <c r="M53">
        <v>66473.52</v>
      </c>
      <c r="N53">
        <v>23150.46</v>
      </c>
      <c r="O53">
        <v>2013</v>
      </c>
      <c r="P53" t="s">
        <v>33</v>
      </c>
      <c r="Q53" s="2">
        <v>0.25829999999999997</v>
      </c>
      <c r="R53" t="s">
        <v>45</v>
      </c>
      <c r="S53">
        <v>31</v>
      </c>
      <c r="T53" t="s">
        <v>27</v>
      </c>
    </row>
    <row r="54" spans="1:20" x14ac:dyDescent="0.35">
      <c r="A54" t="s">
        <v>94</v>
      </c>
      <c r="B54" t="s">
        <v>106</v>
      </c>
      <c r="C54" t="s">
        <v>30</v>
      </c>
      <c r="D54" t="s">
        <v>31</v>
      </c>
      <c r="E54" t="s">
        <v>51</v>
      </c>
      <c r="F54" s="1">
        <v>41358</v>
      </c>
      <c r="G54">
        <v>844530045</v>
      </c>
      <c r="H54" s="1">
        <v>41361</v>
      </c>
      <c r="I54">
        <v>4063</v>
      </c>
      <c r="J54">
        <v>205.7</v>
      </c>
      <c r="K54">
        <v>117.11</v>
      </c>
      <c r="L54">
        <v>835759.1</v>
      </c>
      <c r="M54">
        <v>475817.93</v>
      </c>
      <c r="N54">
        <v>359941.17</v>
      </c>
      <c r="O54">
        <v>2013</v>
      </c>
      <c r="P54" t="s">
        <v>64</v>
      </c>
      <c r="Q54" s="2">
        <v>0.43070000000000003</v>
      </c>
      <c r="R54" t="s">
        <v>26</v>
      </c>
      <c r="S54">
        <v>3</v>
      </c>
      <c r="T54" t="s">
        <v>39</v>
      </c>
    </row>
    <row r="55" spans="1:20" x14ac:dyDescent="0.35">
      <c r="A55" t="s">
        <v>40</v>
      </c>
      <c r="B55" t="s">
        <v>107</v>
      </c>
      <c r="C55" t="s">
        <v>36</v>
      </c>
      <c r="D55" t="s">
        <v>23</v>
      </c>
      <c r="E55" t="s">
        <v>51</v>
      </c>
      <c r="F55" s="1">
        <v>40873</v>
      </c>
      <c r="G55">
        <v>441888415</v>
      </c>
      <c r="H55" s="1">
        <v>40915</v>
      </c>
      <c r="I55">
        <v>3457</v>
      </c>
      <c r="J55">
        <v>651.21</v>
      </c>
      <c r="K55">
        <v>524.96</v>
      </c>
      <c r="L55">
        <v>2251232.9700000002</v>
      </c>
      <c r="M55">
        <v>1814786.72</v>
      </c>
      <c r="N55">
        <v>436446.25</v>
      </c>
      <c r="O55">
        <v>2012</v>
      </c>
      <c r="P55" t="s">
        <v>74</v>
      </c>
      <c r="Q55" s="2">
        <v>0.19389999999999999</v>
      </c>
      <c r="R55" t="s">
        <v>26</v>
      </c>
      <c r="S55">
        <v>42</v>
      </c>
      <c r="T55" t="s">
        <v>27</v>
      </c>
    </row>
    <row r="56" spans="1:20" x14ac:dyDescent="0.35">
      <c r="A56" t="s">
        <v>40</v>
      </c>
      <c r="B56" t="s">
        <v>41</v>
      </c>
      <c r="C56" t="s">
        <v>42</v>
      </c>
      <c r="D56" t="s">
        <v>23</v>
      </c>
      <c r="E56" t="s">
        <v>24</v>
      </c>
      <c r="F56" s="1">
        <v>41534</v>
      </c>
      <c r="G56">
        <v>508980977</v>
      </c>
      <c r="H56" s="1">
        <v>41571</v>
      </c>
      <c r="I56">
        <v>7637</v>
      </c>
      <c r="J56">
        <v>9.33</v>
      </c>
      <c r="K56">
        <v>6.92</v>
      </c>
      <c r="L56">
        <v>71253.210000000006</v>
      </c>
      <c r="M56">
        <v>52848.04</v>
      </c>
      <c r="N56">
        <v>18405.169999999998</v>
      </c>
      <c r="O56">
        <v>2013</v>
      </c>
      <c r="P56" t="s">
        <v>81</v>
      </c>
      <c r="Q56" s="2">
        <v>0.25829999999999997</v>
      </c>
      <c r="R56" t="s">
        <v>44</v>
      </c>
      <c r="S56">
        <v>37</v>
      </c>
      <c r="T56" t="s">
        <v>27</v>
      </c>
    </row>
    <row r="57" spans="1:20" x14ac:dyDescent="0.35">
      <c r="A57" t="s">
        <v>40</v>
      </c>
      <c r="B57" t="s">
        <v>108</v>
      </c>
      <c r="C57" t="s">
        <v>62</v>
      </c>
      <c r="D57" t="s">
        <v>31</v>
      </c>
      <c r="E57" t="s">
        <v>32</v>
      </c>
      <c r="F57" s="1">
        <v>41068</v>
      </c>
      <c r="G57">
        <v>114606559</v>
      </c>
      <c r="H57" s="1">
        <v>41087</v>
      </c>
      <c r="I57">
        <v>3482</v>
      </c>
      <c r="J57">
        <v>109.28</v>
      </c>
      <c r="K57">
        <v>35.840000000000003</v>
      </c>
      <c r="L57">
        <v>380512.96</v>
      </c>
      <c r="M57">
        <v>124794.88</v>
      </c>
      <c r="N57">
        <v>255718.08</v>
      </c>
      <c r="O57">
        <v>2012</v>
      </c>
      <c r="P57" t="s">
        <v>25</v>
      </c>
      <c r="Q57" s="2">
        <v>0.67200000000000004</v>
      </c>
      <c r="R57" t="s">
        <v>26</v>
      </c>
      <c r="S57">
        <v>19</v>
      </c>
      <c r="T57" t="s">
        <v>45</v>
      </c>
    </row>
    <row r="58" spans="1:20" x14ac:dyDescent="0.35">
      <c r="A58" t="s">
        <v>20</v>
      </c>
      <c r="B58" t="s">
        <v>109</v>
      </c>
      <c r="C58" t="s">
        <v>62</v>
      </c>
      <c r="D58" t="s">
        <v>23</v>
      </c>
      <c r="E58" t="s">
        <v>32</v>
      </c>
      <c r="F58" s="1">
        <v>40359</v>
      </c>
      <c r="G58">
        <v>647876489</v>
      </c>
      <c r="H58" s="1">
        <v>40391</v>
      </c>
      <c r="I58">
        <v>9905</v>
      </c>
      <c r="J58">
        <v>109.28</v>
      </c>
      <c r="K58">
        <v>35.840000000000003</v>
      </c>
      <c r="L58">
        <v>1082418.3999999999</v>
      </c>
      <c r="M58">
        <v>354995.20000000001</v>
      </c>
      <c r="N58">
        <v>727423.2</v>
      </c>
      <c r="O58">
        <v>2010</v>
      </c>
      <c r="P58" t="s">
        <v>57</v>
      </c>
      <c r="Q58" s="2">
        <v>0.67200000000000004</v>
      </c>
      <c r="R58" t="s">
        <v>26</v>
      </c>
      <c r="S58">
        <v>32</v>
      </c>
      <c r="T58" t="s">
        <v>27</v>
      </c>
    </row>
    <row r="59" spans="1:20" x14ac:dyDescent="0.35">
      <c r="A59" t="s">
        <v>34</v>
      </c>
      <c r="B59" t="s">
        <v>110</v>
      </c>
      <c r="C59" t="s">
        <v>69</v>
      </c>
      <c r="D59" t="s">
        <v>23</v>
      </c>
      <c r="E59" t="s">
        <v>24</v>
      </c>
      <c r="F59" s="1">
        <v>42058</v>
      </c>
      <c r="G59">
        <v>868214595</v>
      </c>
      <c r="H59" s="1">
        <v>42065</v>
      </c>
      <c r="I59">
        <v>2847</v>
      </c>
      <c r="J59">
        <v>437.2</v>
      </c>
      <c r="K59">
        <v>263.33</v>
      </c>
      <c r="L59">
        <v>1244708.3999999999</v>
      </c>
      <c r="M59">
        <v>749700.51</v>
      </c>
      <c r="N59">
        <v>495007.89</v>
      </c>
      <c r="O59">
        <v>2015</v>
      </c>
      <c r="P59" t="s">
        <v>64</v>
      </c>
      <c r="Q59" s="2">
        <v>0.3977</v>
      </c>
      <c r="R59" t="s">
        <v>26</v>
      </c>
      <c r="S59">
        <v>7</v>
      </c>
      <c r="T59" t="s">
        <v>39</v>
      </c>
    </row>
    <row r="60" spans="1:20" x14ac:dyDescent="0.35">
      <c r="A60" t="s">
        <v>34</v>
      </c>
      <c r="B60" t="s">
        <v>111</v>
      </c>
      <c r="C60" t="s">
        <v>50</v>
      </c>
      <c r="D60" t="s">
        <v>31</v>
      </c>
      <c r="E60" t="s">
        <v>37</v>
      </c>
      <c r="F60" s="1">
        <v>40913</v>
      </c>
      <c r="G60">
        <v>955357205</v>
      </c>
      <c r="H60" s="1">
        <v>40953</v>
      </c>
      <c r="I60">
        <v>282</v>
      </c>
      <c r="J60">
        <v>668.27</v>
      </c>
      <c r="K60">
        <v>502.54</v>
      </c>
      <c r="L60">
        <v>188452.14</v>
      </c>
      <c r="M60">
        <v>141716.28</v>
      </c>
      <c r="N60">
        <v>46735.86</v>
      </c>
      <c r="O60">
        <v>2012</v>
      </c>
      <c r="P60" t="s">
        <v>47</v>
      </c>
      <c r="Q60" s="2">
        <v>0.248</v>
      </c>
      <c r="R60" t="s">
        <v>45</v>
      </c>
      <c r="S60">
        <v>40</v>
      </c>
      <c r="T60" t="s">
        <v>27</v>
      </c>
    </row>
    <row r="61" spans="1:20" x14ac:dyDescent="0.35">
      <c r="A61" t="s">
        <v>40</v>
      </c>
      <c r="B61" t="s">
        <v>92</v>
      </c>
      <c r="C61" t="s">
        <v>69</v>
      </c>
      <c r="D61" t="s">
        <v>23</v>
      </c>
      <c r="E61" t="s">
        <v>24</v>
      </c>
      <c r="F61" s="1">
        <v>41736</v>
      </c>
      <c r="G61">
        <v>259353148</v>
      </c>
      <c r="H61" s="1">
        <v>41748</v>
      </c>
      <c r="I61">
        <v>7215</v>
      </c>
      <c r="J61">
        <v>437.2</v>
      </c>
      <c r="K61">
        <v>263.33</v>
      </c>
      <c r="L61">
        <v>3154398</v>
      </c>
      <c r="M61">
        <v>1899925.95</v>
      </c>
      <c r="N61">
        <v>1254472.05</v>
      </c>
      <c r="O61">
        <v>2014</v>
      </c>
      <c r="P61" t="s">
        <v>52</v>
      </c>
      <c r="Q61" s="2">
        <v>0.3977</v>
      </c>
      <c r="R61" t="s">
        <v>26</v>
      </c>
      <c r="S61">
        <v>12</v>
      </c>
      <c r="T61" t="s">
        <v>45</v>
      </c>
    </row>
    <row r="62" spans="1:20" x14ac:dyDescent="0.35">
      <c r="A62" t="s">
        <v>20</v>
      </c>
      <c r="B62" t="s">
        <v>90</v>
      </c>
      <c r="C62" t="s">
        <v>30</v>
      </c>
      <c r="D62" t="s">
        <v>23</v>
      </c>
      <c r="E62" t="s">
        <v>24</v>
      </c>
      <c r="F62" s="1">
        <v>41434</v>
      </c>
      <c r="G62">
        <v>450563752</v>
      </c>
      <c r="H62" s="1">
        <v>41457</v>
      </c>
      <c r="I62">
        <v>682</v>
      </c>
      <c r="J62">
        <v>205.7</v>
      </c>
      <c r="K62">
        <v>117.11</v>
      </c>
      <c r="L62">
        <v>140287.4</v>
      </c>
      <c r="M62">
        <v>79869.02</v>
      </c>
      <c r="N62">
        <v>60418.38</v>
      </c>
      <c r="O62">
        <v>2013</v>
      </c>
      <c r="P62" t="s">
        <v>43</v>
      </c>
      <c r="Q62" s="2">
        <v>0.43070000000000003</v>
      </c>
      <c r="R62" t="s">
        <v>26</v>
      </c>
      <c r="S62">
        <v>23</v>
      </c>
      <c r="T62" t="s">
        <v>27</v>
      </c>
    </row>
    <row r="63" spans="1:20" x14ac:dyDescent="0.35">
      <c r="A63" t="s">
        <v>34</v>
      </c>
      <c r="B63" t="s">
        <v>112</v>
      </c>
      <c r="C63" t="s">
        <v>22</v>
      </c>
      <c r="D63" t="s">
        <v>31</v>
      </c>
      <c r="E63" t="s">
        <v>37</v>
      </c>
      <c r="F63" s="1">
        <v>41451</v>
      </c>
      <c r="G63">
        <v>569662845</v>
      </c>
      <c r="H63" s="1">
        <v>41456</v>
      </c>
      <c r="I63">
        <v>4750</v>
      </c>
      <c r="J63">
        <v>255.28</v>
      </c>
      <c r="K63">
        <v>159.41999999999999</v>
      </c>
      <c r="L63">
        <v>1212580</v>
      </c>
      <c r="M63">
        <v>757245</v>
      </c>
      <c r="N63">
        <v>455335</v>
      </c>
      <c r="O63">
        <v>2013</v>
      </c>
      <c r="P63" t="s">
        <v>43</v>
      </c>
      <c r="Q63" s="2">
        <v>0.3755</v>
      </c>
      <c r="R63" t="s">
        <v>26</v>
      </c>
      <c r="S63">
        <v>5</v>
      </c>
      <c r="T63" t="s">
        <v>39</v>
      </c>
    </row>
    <row r="64" spans="1:20" x14ac:dyDescent="0.35">
      <c r="A64" t="s">
        <v>40</v>
      </c>
      <c r="B64" t="s">
        <v>71</v>
      </c>
      <c r="C64" t="s">
        <v>36</v>
      </c>
      <c r="D64" t="s">
        <v>31</v>
      </c>
      <c r="E64" t="s">
        <v>51</v>
      </c>
      <c r="F64" s="1">
        <v>40854</v>
      </c>
      <c r="G64">
        <v>177636754</v>
      </c>
      <c r="H64" s="1">
        <v>40862</v>
      </c>
      <c r="I64">
        <v>5518</v>
      </c>
      <c r="J64">
        <v>651.21</v>
      </c>
      <c r="K64">
        <v>524.96</v>
      </c>
      <c r="L64">
        <v>3593376.78</v>
      </c>
      <c r="M64">
        <v>2896729.28</v>
      </c>
      <c r="N64">
        <v>696647.5</v>
      </c>
      <c r="O64">
        <v>2011</v>
      </c>
      <c r="P64" t="s">
        <v>85</v>
      </c>
      <c r="Q64" s="2">
        <v>0.19389999999999999</v>
      </c>
      <c r="R64" t="s">
        <v>26</v>
      </c>
      <c r="S64">
        <v>8</v>
      </c>
      <c r="T64" t="s">
        <v>39</v>
      </c>
    </row>
    <row r="65" spans="1:20" x14ac:dyDescent="0.35">
      <c r="A65" t="s">
        <v>94</v>
      </c>
      <c r="B65" t="s">
        <v>113</v>
      </c>
      <c r="C65" t="s">
        <v>62</v>
      </c>
      <c r="D65" t="s">
        <v>23</v>
      </c>
      <c r="E65" t="s">
        <v>24</v>
      </c>
      <c r="F65" s="1">
        <v>40481</v>
      </c>
      <c r="G65">
        <v>705784308</v>
      </c>
      <c r="H65" s="1">
        <v>40499</v>
      </c>
      <c r="I65">
        <v>6116</v>
      </c>
      <c r="J65">
        <v>109.28</v>
      </c>
      <c r="K65">
        <v>35.840000000000003</v>
      </c>
      <c r="L65">
        <v>668356.48</v>
      </c>
      <c r="M65">
        <v>219197.44</v>
      </c>
      <c r="N65">
        <v>449159.04</v>
      </c>
      <c r="O65">
        <v>2010</v>
      </c>
      <c r="P65" t="s">
        <v>85</v>
      </c>
      <c r="Q65" s="2">
        <v>0.67200000000000004</v>
      </c>
      <c r="R65" t="s">
        <v>26</v>
      </c>
      <c r="S65">
        <v>18</v>
      </c>
      <c r="T65" t="s">
        <v>45</v>
      </c>
    </row>
    <row r="66" spans="1:20" x14ac:dyDescent="0.35">
      <c r="A66" t="s">
        <v>28</v>
      </c>
      <c r="B66" t="s">
        <v>114</v>
      </c>
      <c r="C66" t="s">
        <v>69</v>
      </c>
      <c r="D66" t="s">
        <v>23</v>
      </c>
      <c r="E66" t="s">
        <v>24</v>
      </c>
      <c r="F66" s="1">
        <v>41560</v>
      </c>
      <c r="G66">
        <v>505716836</v>
      </c>
      <c r="H66" s="1">
        <v>41594</v>
      </c>
      <c r="I66">
        <v>1705</v>
      </c>
      <c r="J66">
        <v>437.2</v>
      </c>
      <c r="K66">
        <v>263.33</v>
      </c>
      <c r="L66">
        <v>745426</v>
      </c>
      <c r="M66">
        <v>448977.65</v>
      </c>
      <c r="N66">
        <v>296448.34999999998</v>
      </c>
      <c r="O66">
        <v>2013</v>
      </c>
      <c r="P66" t="s">
        <v>85</v>
      </c>
      <c r="Q66" s="2">
        <v>0.3977</v>
      </c>
      <c r="R66" t="s">
        <v>26</v>
      </c>
      <c r="S66">
        <v>34</v>
      </c>
      <c r="T66" t="s">
        <v>27</v>
      </c>
    </row>
    <row r="67" spans="1:20" x14ac:dyDescent="0.35">
      <c r="A67" t="s">
        <v>40</v>
      </c>
      <c r="B67" t="s">
        <v>46</v>
      </c>
      <c r="C67" t="s">
        <v>69</v>
      </c>
      <c r="D67" t="s">
        <v>23</v>
      </c>
      <c r="E67" t="s">
        <v>24</v>
      </c>
      <c r="F67" s="1">
        <v>41558</v>
      </c>
      <c r="G67">
        <v>699358165</v>
      </c>
      <c r="H67" s="1">
        <v>41603</v>
      </c>
      <c r="I67">
        <v>4477</v>
      </c>
      <c r="J67">
        <v>437.2</v>
      </c>
      <c r="K67">
        <v>263.33</v>
      </c>
      <c r="L67">
        <v>1957344.4</v>
      </c>
      <c r="M67">
        <v>1178928.4099999999</v>
      </c>
      <c r="N67">
        <v>778415.99</v>
      </c>
      <c r="O67">
        <v>2013</v>
      </c>
      <c r="P67" t="s">
        <v>85</v>
      </c>
      <c r="Q67" s="2">
        <v>0.3977</v>
      </c>
      <c r="R67" t="s">
        <v>26</v>
      </c>
      <c r="S67">
        <v>45</v>
      </c>
      <c r="T67" t="s">
        <v>27</v>
      </c>
    </row>
    <row r="68" spans="1:20" x14ac:dyDescent="0.35">
      <c r="A68" t="s">
        <v>40</v>
      </c>
      <c r="B68" t="s">
        <v>115</v>
      </c>
      <c r="C68" t="s">
        <v>56</v>
      </c>
      <c r="D68" t="s">
        <v>23</v>
      </c>
      <c r="E68" t="s">
        <v>37</v>
      </c>
      <c r="F68" s="1">
        <v>41098</v>
      </c>
      <c r="G68">
        <v>228944623</v>
      </c>
      <c r="H68" s="1">
        <v>41099</v>
      </c>
      <c r="I68">
        <v>8656</v>
      </c>
      <c r="J68">
        <v>81.73</v>
      </c>
      <c r="K68">
        <v>56.67</v>
      </c>
      <c r="L68">
        <v>707454.88</v>
      </c>
      <c r="M68">
        <v>490535.52</v>
      </c>
      <c r="N68">
        <v>216919.36</v>
      </c>
      <c r="O68">
        <v>2012</v>
      </c>
      <c r="P68" t="s">
        <v>43</v>
      </c>
      <c r="Q68" s="2">
        <v>0.30659999999999998</v>
      </c>
      <c r="R68" t="s">
        <v>26</v>
      </c>
      <c r="S68">
        <v>1</v>
      </c>
      <c r="T68" t="s">
        <v>39</v>
      </c>
    </row>
    <row r="69" spans="1:20" x14ac:dyDescent="0.35">
      <c r="A69" t="s">
        <v>28</v>
      </c>
      <c r="B69" t="s">
        <v>116</v>
      </c>
      <c r="C69" t="s">
        <v>62</v>
      </c>
      <c r="D69" t="s">
        <v>23</v>
      </c>
      <c r="E69" t="s">
        <v>51</v>
      </c>
      <c r="F69" s="1">
        <v>42576</v>
      </c>
      <c r="G69">
        <v>807025039</v>
      </c>
      <c r="H69" s="1">
        <v>42620</v>
      </c>
      <c r="I69">
        <v>5498</v>
      </c>
      <c r="J69">
        <v>109.28</v>
      </c>
      <c r="K69">
        <v>35.840000000000003</v>
      </c>
      <c r="L69">
        <v>600821.43999999994</v>
      </c>
      <c r="M69">
        <v>197048.32000000001</v>
      </c>
      <c r="N69">
        <v>403773.12</v>
      </c>
      <c r="O69">
        <v>2016</v>
      </c>
      <c r="P69" t="s">
        <v>33</v>
      </c>
      <c r="Q69" s="2">
        <v>0.67200000000000004</v>
      </c>
      <c r="R69" t="s">
        <v>26</v>
      </c>
      <c r="S69">
        <v>44</v>
      </c>
      <c r="T69" t="s">
        <v>27</v>
      </c>
    </row>
    <row r="70" spans="1:20" x14ac:dyDescent="0.35">
      <c r="A70" t="s">
        <v>34</v>
      </c>
      <c r="B70" t="s">
        <v>117</v>
      </c>
      <c r="C70" t="s">
        <v>36</v>
      </c>
      <c r="D70" t="s">
        <v>23</v>
      </c>
      <c r="E70" t="s">
        <v>24</v>
      </c>
      <c r="F70" s="1">
        <v>40475</v>
      </c>
      <c r="G70">
        <v>166460740</v>
      </c>
      <c r="H70" s="1">
        <v>40499</v>
      </c>
      <c r="I70">
        <v>8287</v>
      </c>
      <c r="J70">
        <v>651.21</v>
      </c>
      <c r="K70">
        <v>524.96</v>
      </c>
      <c r="L70">
        <v>5396577.2699999996</v>
      </c>
      <c r="M70">
        <v>4350343.5199999996</v>
      </c>
      <c r="N70">
        <v>1046233.75</v>
      </c>
      <c r="O70">
        <v>2010</v>
      </c>
      <c r="P70" t="s">
        <v>85</v>
      </c>
      <c r="Q70" s="2">
        <v>0.19389999999999999</v>
      </c>
      <c r="R70" t="s">
        <v>26</v>
      </c>
      <c r="S70">
        <v>24</v>
      </c>
      <c r="T70" t="s">
        <v>27</v>
      </c>
    </row>
    <row r="71" spans="1:20" x14ac:dyDescent="0.35">
      <c r="A71" t="s">
        <v>40</v>
      </c>
      <c r="B71" t="s">
        <v>118</v>
      </c>
      <c r="C71" t="s">
        <v>62</v>
      </c>
      <c r="D71" t="s">
        <v>23</v>
      </c>
      <c r="E71" t="s">
        <v>37</v>
      </c>
      <c r="F71" s="1">
        <v>42119</v>
      </c>
      <c r="G71">
        <v>610425555</v>
      </c>
      <c r="H71" s="1">
        <v>42152</v>
      </c>
      <c r="I71">
        <v>7342</v>
      </c>
      <c r="J71">
        <v>109.28</v>
      </c>
      <c r="K71">
        <v>35.840000000000003</v>
      </c>
      <c r="L71">
        <v>802333.76</v>
      </c>
      <c r="M71">
        <v>263137.28000000003</v>
      </c>
      <c r="N71">
        <v>539196.48</v>
      </c>
      <c r="O71">
        <v>2015</v>
      </c>
      <c r="P71" t="s">
        <v>38</v>
      </c>
      <c r="Q71" s="2">
        <v>0.67200000000000004</v>
      </c>
      <c r="R71" t="s">
        <v>26</v>
      </c>
      <c r="S71">
        <v>33</v>
      </c>
      <c r="T71" t="s">
        <v>27</v>
      </c>
    </row>
    <row r="72" spans="1:20" x14ac:dyDescent="0.35">
      <c r="A72" t="s">
        <v>59</v>
      </c>
      <c r="B72" t="s">
        <v>73</v>
      </c>
      <c r="C72" t="s">
        <v>36</v>
      </c>
      <c r="D72" t="s">
        <v>31</v>
      </c>
      <c r="E72" t="s">
        <v>51</v>
      </c>
      <c r="F72" s="1">
        <v>41387</v>
      </c>
      <c r="G72">
        <v>462405812</v>
      </c>
      <c r="H72" s="1">
        <v>41414</v>
      </c>
      <c r="I72">
        <v>5010</v>
      </c>
      <c r="J72">
        <v>651.21</v>
      </c>
      <c r="K72">
        <v>524.96</v>
      </c>
      <c r="L72">
        <v>3262562.1</v>
      </c>
      <c r="M72">
        <v>2630049.6</v>
      </c>
      <c r="N72">
        <v>632512.5</v>
      </c>
      <c r="O72">
        <v>2013</v>
      </c>
      <c r="P72" t="s">
        <v>38</v>
      </c>
      <c r="Q72" s="2">
        <v>0.19389999999999999</v>
      </c>
      <c r="R72" t="s">
        <v>26</v>
      </c>
      <c r="S72">
        <v>27</v>
      </c>
      <c r="T72" t="s">
        <v>27</v>
      </c>
    </row>
    <row r="73" spans="1:20" x14ac:dyDescent="0.35">
      <c r="A73" t="s">
        <v>94</v>
      </c>
      <c r="B73" t="s">
        <v>113</v>
      </c>
      <c r="C73" t="s">
        <v>42</v>
      </c>
      <c r="D73" t="s">
        <v>31</v>
      </c>
      <c r="E73" t="s">
        <v>37</v>
      </c>
      <c r="F73" s="1">
        <v>42230</v>
      </c>
      <c r="G73">
        <v>816200339</v>
      </c>
      <c r="H73" s="1">
        <v>42277</v>
      </c>
      <c r="I73">
        <v>673</v>
      </c>
      <c r="J73">
        <v>9.33</v>
      </c>
      <c r="K73">
        <v>6.92</v>
      </c>
      <c r="L73">
        <v>6279.09</v>
      </c>
      <c r="M73">
        <v>4657.16</v>
      </c>
      <c r="N73">
        <v>1621.93</v>
      </c>
      <c r="O73">
        <v>2015</v>
      </c>
      <c r="P73" t="s">
        <v>33</v>
      </c>
      <c r="Q73" s="2">
        <v>0.25829999999999997</v>
      </c>
      <c r="R73" t="s">
        <v>44</v>
      </c>
      <c r="S73">
        <v>47</v>
      </c>
      <c r="T73" t="s">
        <v>27</v>
      </c>
    </row>
    <row r="74" spans="1:20" x14ac:dyDescent="0.35">
      <c r="A74" t="s">
        <v>40</v>
      </c>
      <c r="B74" t="s">
        <v>119</v>
      </c>
      <c r="C74" t="s">
        <v>72</v>
      </c>
      <c r="D74" t="s">
        <v>31</v>
      </c>
      <c r="E74" t="s">
        <v>32</v>
      </c>
      <c r="F74" s="1">
        <v>40689</v>
      </c>
      <c r="G74">
        <v>585920464</v>
      </c>
      <c r="H74" s="1">
        <v>40739</v>
      </c>
      <c r="I74">
        <v>5741</v>
      </c>
      <c r="J74">
        <v>47.45</v>
      </c>
      <c r="K74">
        <v>31.79</v>
      </c>
      <c r="L74">
        <v>272410.45</v>
      </c>
      <c r="M74">
        <v>182506.39</v>
      </c>
      <c r="N74">
        <v>89904.06</v>
      </c>
      <c r="O74">
        <v>2011</v>
      </c>
      <c r="P74" t="s">
        <v>43</v>
      </c>
      <c r="Q74" s="2">
        <v>0.33</v>
      </c>
      <c r="R74" t="s">
        <v>26</v>
      </c>
      <c r="S74">
        <v>50</v>
      </c>
      <c r="T74" t="s">
        <v>27</v>
      </c>
    </row>
    <row r="75" spans="1:20" x14ac:dyDescent="0.35">
      <c r="A75" t="s">
        <v>40</v>
      </c>
      <c r="B75" t="s">
        <v>92</v>
      </c>
      <c r="C75" t="s">
        <v>30</v>
      </c>
      <c r="D75" t="s">
        <v>31</v>
      </c>
      <c r="E75" t="s">
        <v>24</v>
      </c>
      <c r="F75" s="1">
        <v>42875</v>
      </c>
      <c r="G75">
        <v>555990016</v>
      </c>
      <c r="H75" s="1">
        <v>42903</v>
      </c>
      <c r="I75">
        <v>8656</v>
      </c>
      <c r="J75">
        <v>205.7</v>
      </c>
      <c r="K75">
        <v>117.11</v>
      </c>
      <c r="L75">
        <v>1780539.2</v>
      </c>
      <c r="M75">
        <v>1013704.16</v>
      </c>
      <c r="N75">
        <v>766835.04</v>
      </c>
      <c r="O75">
        <v>2017</v>
      </c>
      <c r="P75" t="s">
        <v>25</v>
      </c>
      <c r="Q75" s="2">
        <v>0.43070000000000003</v>
      </c>
      <c r="R75" t="s">
        <v>26</v>
      </c>
      <c r="S75">
        <v>28</v>
      </c>
      <c r="T75" t="s">
        <v>27</v>
      </c>
    </row>
    <row r="76" spans="1:20" x14ac:dyDescent="0.35">
      <c r="A76" t="s">
        <v>94</v>
      </c>
      <c r="B76" t="s">
        <v>120</v>
      </c>
      <c r="C76" t="s">
        <v>69</v>
      </c>
      <c r="D76" t="s">
        <v>23</v>
      </c>
      <c r="E76" t="s">
        <v>37</v>
      </c>
      <c r="F76" s="1">
        <v>41460</v>
      </c>
      <c r="G76">
        <v>231145322</v>
      </c>
      <c r="H76" s="1">
        <v>41502</v>
      </c>
      <c r="I76">
        <v>9892</v>
      </c>
      <c r="J76">
        <v>437.2</v>
      </c>
      <c r="K76">
        <v>263.33</v>
      </c>
      <c r="L76">
        <v>4324782.4000000004</v>
      </c>
      <c r="M76">
        <v>2604860.36</v>
      </c>
      <c r="N76">
        <v>1719922.04</v>
      </c>
      <c r="O76">
        <v>2013</v>
      </c>
      <c r="P76" t="s">
        <v>57</v>
      </c>
      <c r="Q76" s="2">
        <v>0.3977</v>
      </c>
      <c r="R76" t="s">
        <v>26</v>
      </c>
      <c r="S76">
        <v>42</v>
      </c>
      <c r="T76" t="s">
        <v>27</v>
      </c>
    </row>
    <row r="77" spans="1:20" x14ac:dyDescent="0.35">
      <c r="A77" t="s">
        <v>121</v>
      </c>
      <c r="B77" t="s">
        <v>122</v>
      </c>
      <c r="C77" t="s">
        <v>50</v>
      </c>
      <c r="D77" t="s">
        <v>23</v>
      </c>
      <c r="E77" t="s">
        <v>32</v>
      </c>
      <c r="F77" s="1">
        <v>41949</v>
      </c>
      <c r="G77">
        <v>986435210</v>
      </c>
      <c r="H77" s="1">
        <v>41985</v>
      </c>
      <c r="I77">
        <v>6954</v>
      </c>
      <c r="J77">
        <v>668.27</v>
      </c>
      <c r="K77">
        <v>502.54</v>
      </c>
      <c r="L77">
        <v>4647149.58</v>
      </c>
      <c r="M77">
        <v>3494663.16</v>
      </c>
      <c r="N77">
        <v>1152486.42</v>
      </c>
      <c r="O77">
        <v>2014</v>
      </c>
      <c r="P77" t="s">
        <v>70</v>
      </c>
      <c r="Q77" s="2">
        <v>0.248</v>
      </c>
      <c r="R77" t="s">
        <v>26</v>
      </c>
      <c r="S77">
        <v>36</v>
      </c>
      <c r="T77" t="s">
        <v>27</v>
      </c>
    </row>
    <row r="78" spans="1:20" x14ac:dyDescent="0.35">
      <c r="A78" t="s">
        <v>20</v>
      </c>
      <c r="B78" t="s">
        <v>123</v>
      </c>
      <c r="C78" t="s">
        <v>72</v>
      </c>
      <c r="D78" t="s">
        <v>31</v>
      </c>
      <c r="E78" t="s">
        <v>32</v>
      </c>
      <c r="F78" s="1">
        <v>41940</v>
      </c>
      <c r="G78">
        <v>217221009</v>
      </c>
      <c r="H78" s="1">
        <v>41958</v>
      </c>
      <c r="I78">
        <v>9379</v>
      </c>
      <c r="J78">
        <v>47.45</v>
      </c>
      <c r="K78">
        <v>31.79</v>
      </c>
      <c r="L78">
        <v>445033.55</v>
      </c>
      <c r="M78">
        <v>298158.40999999997</v>
      </c>
      <c r="N78">
        <v>146875.14000000001</v>
      </c>
      <c r="O78">
        <v>2014</v>
      </c>
      <c r="P78" t="s">
        <v>85</v>
      </c>
      <c r="Q78" s="2">
        <v>0.33</v>
      </c>
      <c r="R78" t="s">
        <v>26</v>
      </c>
      <c r="S78">
        <v>18</v>
      </c>
      <c r="T78" t="s">
        <v>45</v>
      </c>
    </row>
    <row r="79" spans="1:20" x14ac:dyDescent="0.35">
      <c r="A79" t="s">
        <v>59</v>
      </c>
      <c r="B79" t="s">
        <v>124</v>
      </c>
      <c r="C79" t="s">
        <v>54</v>
      </c>
      <c r="D79" t="s">
        <v>23</v>
      </c>
      <c r="E79" t="s">
        <v>32</v>
      </c>
      <c r="F79" s="1">
        <v>40801</v>
      </c>
      <c r="G79">
        <v>789176547</v>
      </c>
      <c r="H79" s="1">
        <v>40839</v>
      </c>
      <c r="I79">
        <v>3732</v>
      </c>
      <c r="J79">
        <v>154.06</v>
      </c>
      <c r="K79">
        <v>90.93</v>
      </c>
      <c r="L79">
        <v>574951.92000000004</v>
      </c>
      <c r="M79">
        <v>339350.76</v>
      </c>
      <c r="N79">
        <v>235601.16</v>
      </c>
      <c r="O79">
        <v>2011</v>
      </c>
      <c r="P79" t="s">
        <v>81</v>
      </c>
      <c r="Q79" s="2">
        <v>0.4098</v>
      </c>
      <c r="R79" t="s">
        <v>26</v>
      </c>
      <c r="S79">
        <v>38</v>
      </c>
      <c r="T79" t="s">
        <v>27</v>
      </c>
    </row>
    <row r="80" spans="1:20" x14ac:dyDescent="0.35">
      <c r="A80" t="s">
        <v>34</v>
      </c>
      <c r="B80" t="s">
        <v>125</v>
      </c>
      <c r="C80" t="s">
        <v>22</v>
      </c>
      <c r="D80" t="s">
        <v>23</v>
      </c>
      <c r="E80" t="s">
        <v>24</v>
      </c>
      <c r="F80" s="1">
        <v>41058</v>
      </c>
      <c r="G80">
        <v>688288152</v>
      </c>
      <c r="H80" s="1">
        <v>41062</v>
      </c>
      <c r="I80">
        <v>8614</v>
      </c>
      <c r="J80">
        <v>255.28</v>
      </c>
      <c r="K80">
        <v>159.41999999999999</v>
      </c>
      <c r="L80">
        <v>2198981.92</v>
      </c>
      <c r="M80">
        <v>1373243.88</v>
      </c>
      <c r="N80">
        <v>825738.04</v>
      </c>
      <c r="O80">
        <v>2012</v>
      </c>
      <c r="P80" t="s">
        <v>25</v>
      </c>
      <c r="Q80" s="2">
        <v>0.3755</v>
      </c>
      <c r="R80" t="s">
        <v>26</v>
      </c>
      <c r="S80">
        <v>4</v>
      </c>
      <c r="T80" t="s">
        <v>39</v>
      </c>
    </row>
    <row r="81" spans="1:20" x14ac:dyDescent="0.35">
      <c r="A81" t="s">
        <v>20</v>
      </c>
      <c r="B81" t="s">
        <v>126</v>
      </c>
      <c r="C81" t="s">
        <v>69</v>
      </c>
      <c r="D81" t="s">
        <v>31</v>
      </c>
      <c r="E81" t="s">
        <v>24</v>
      </c>
      <c r="F81" s="1">
        <v>41475</v>
      </c>
      <c r="G81">
        <v>670854651</v>
      </c>
      <c r="H81" s="1">
        <v>41493</v>
      </c>
      <c r="I81">
        <v>9654</v>
      </c>
      <c r="J81">
        <v>437.2</v>
      </c>
      <c r="K81">
        <v>263.33</v>
      </c>
      <c r="L81">
        <v>4220728.8</v>
      </c>
      <c r="M81">
        <v>2542187.8199999998</v>
      </c>
      <c r="N81">
        <v>1678540.98</v>
      </c>
      <c r="O81">
        <v>2013</v>
      </c>
      <c r="P81" t="s">
        <v>57</v>
      </c>
      <c r="Q81" s="2">
        <v>0.3977</v>
      </c>
      <c r="R81" t="s">
        <v>26</v>
      </c>
      <c r="S81">
        <v>18</v>
      </c>
      <c r="T81" t="s">
        <v>45</v>
      </c>
    </row>
    <row r="82" spans="1:20" x14ac:dyDescent="0.35">
      <c r="A82" t="s">
        <v>34</v>
      </c>
      <c r="B82" t="s">
        <v>127</v>
      </c>
      <c r="C82" t="s">
        <v>50</v>
      </c>
      <c r="D82" t="s">
        <v>23</v>
      </c>
      <c r="E82" t="s">
        <v>37</v>
      </c>
      <c r="F82" s="1">
        <v>41203</v>
      </c>
      <c r="G82">
        <v>213487374</v>
      </c>
      <c r="H82" s="1">
        <v>41243</v>
      </c>
      <c r="I82">
        <v>4513</v>
      </c>
      <c r="J82">
        <v>668.27</v>
      </c>
      <c r="K82">
        <v>502.54</v>
      </c>
      <c r="L82">
        <v>3015902.51</v>
      </c>
      <c r="M82">
        <v>2267963.02</v>
      </c>
      <c r="N82">
        <v>747939.49</v>
      </c>
      <c r="O82">
        <v>2012</v>
      </c>
      <c r="P82" t="s">
        <v>85</v>
      </c>
      <c r="Q82" s="2">
        <v>0.248</v>
      </c>
      <c r="R82" t="s">
        <v>26</v>
      </c>
      <c r="S82">
        <v>40</v>
      </c>
      <c r="T82" t="s">
        <v>27</v>
      </c>
    </row>
    <row r="83" spans="1:20" x14ac:dyDescent="0.35">
      <c r="A83" t="s">
        <v>94</v>
      </c>
      <c r="B83" t="s">
        <v>128</v>
      </c>
      <c r="C83" t="s">
        <v>62</v>
      </c>
      <c r="D83" t="s">
        <v>31</v>
      </c>
      <c r="E83" t="s">
        <v>37</v>
      </c>
      <c r="F83" s="1">
        <v>41170</v>
      </c>
      <c r="G83">
        <v>663110148</v>
      </c>
      <c r="H83" s="1">
        <v>41190</v>
      </c>
      <c r="I83">
        <v>7884</v>
      </c>
      <c r="J83">
        <v>109.28</v>
      </c>
      <c r="K83">
        <v>35.840000000000003</v>
      </c>
      <c r="L83">
        <v>861563.52</v>
      </c>
      <c r="M83">
        <v>282562.56</v>
      </c>
      <c r="N83">
        <v>579000.96</v>
      </c>
      <c r="O83">
        <v>2012</v>
      </c>
      <c r="P83" t="s">
        <v>81</v>
      </c>
      <c r="Q83" s="2">
        <v>0.67200000000000004</v>
      </c>
      <c r="R83" t="s">
        <v>26</v>
      </c>
      <c r="S83">
        <v>20</v>
      </c>
      <c r="T83" t="s">
        <v>45</v>
      </c>
    </row>
    <row r="84" spans="1:20" x14ac:dyDescent="0.35">
      <c r="A84" t="s">
        <v>94</v>
      </c>
      <c r="B84" t="s">
        <v>129</v>
      </c>
      <c r="C84" t="s">
        <v>69</v>
      </c>
      <c r="D84" t="s">
        <v>31</v>
      </c>
      <c r="E84" t="s">
        <v>24</v>
      </c>
      <c r="F84" s="1">
        <v>42689</v>
      </c>
      <c r="G84">
        <v>286959302</v>
      </c>
      <c r="H84" s="1">
        <v>42712</v>
      </c>
      <c r="I84">
        <v>6489</v>
      </c>
      <c r="J84">
        <v>437.2</v>
      </c>
      <c r="K84">
        <v>263.33</v>
      </c>
      <c r="L84">
        <v>2836990.8</v>
      </c>
      <c r="M84">
        <v>1708748.37</v>
      </c>
      <c r="N84">
        <v>1128242.43</v>
      </c>
      <c r="O84">
        <v>2016</v>
      </c>
      <c r="P84" t="s">
        <v>70</v>
      </c>
      <c r="Q84" s="2">
        <v>0.3977</v>
      </c>
      <c r="R84" t="s">
        <v>26</v>
      </c>
      <c r="S84">
        <v>23</v>
      </c>
      <c r="T84" t="s">
        <v>27</v>
      </c>
    </row>
    <row r="85" spans="1:20" x14ac:dyDescent="0.35">
      <c r="A85" t="s">
        <v>40</v>
      </c>
      <c r="B85" t="s">
        <v>130</v>
      </c>
      <c r="C85" t="s">
        <v>79</v>
      </c>
      <c r="D85" t="s">
        <v>31</v>
      </c>
      <c r="E85" t="s">
        <v>37</v>
      </c>
      <c r="F85" s="1">
        <v>40547</v>
      </c>
      <c r="G85">
        <v>122583663</v>
      </c>
      <c r="H85" s="1">
        <v>40548</v>
      </c>
      <c r="I85">
        <v>4085</v>
      </c>
      <c r="J85">
        <v>152.58000000000001</v>
      </c>
      <c r="K85">
        <v>97.44</v>
      </c>
      <c r="L85">
        <v>623289.30000000005</v>
      </c>
      <c r="M85">
        <v>398042.4</v>
      </c>
      <c r="N85">
        <v>225246.9</v>
      </c>
      <c r="O85">
        <v>2011</v>
      </c>
      <c r="P85" t="s">
        <v>74</v>
      </c>
      <c r="Q85" s="2">
        <v>0.3614</v>
      </c>
      <c r="R85" t="s">
        <v>26</v>
      </c>
      <c r="S85">
        <v>1</v>
      </c>
      <c r="T85" t="s">
        <v>39</v>
      </c>
    </row>
    <row r="86" spans="1:20" x14ac:dyDescent="0.35">
      <c r="A86" t="s">
        <v>40</v>
      </c>
      <c r="B86" t="s">
        <v>131</v>
      </c>
      <c r="C86" t="s">
        <v>54</v>
      </c>
      <c r="D86" t="s">
        <v>31</v>
      </c>
      <c r="E86" t="s">
        <v>37</v>
      </c>
      <c r="F86" s="1">
        <v>40986</v>
      </c>
      <c r="G86">
        <v>827844560</v>
      </c>
      <c r="H86" s="1">
        <v>41006</v>
      </c>
      <c r="I86">
        <v>6457</v>
      </c>
      <c r="J86">
        <v>154.06</v>
      </c>
      <c r="K86">
        <v>90.93</v>
      </c>
      <c r="L86">
        <v>994765.42</v>
      </c>
      <c r="M86">
        <v>587135.01</v>
      </c>
      <c r="N86">
        <v>407630.41</v>
      </c>
      <c r="O86">
        <v>2012</v>
      </c>
      <c r="P86" t="s">
        <v>52</v>
      </c>
      <c r="Q86" s="2">
        <v>0.4098</v>
      </c>
      <c r="R86" t="s">
        <v>26</v>
      </c>
      <c r="S86">
        <v>20</v>
      </c>
      <c r="T86" t="s">
        <v>45</v>
      </c>
    </row>
    <row r="87" spans="1:20" x14ac:dyDescent="0.35">
      <c r="A87" t="s">
        <v>121</v>
      </c>
      <c r="B87" t="s">
        <v>122</v>
      </c>
      <c r="C87" t="s">
        <v>56</v>
      </c>
      <c r="D87" t="s">
        <v>23</v>
      </c>
      <c r="E87" t="s">
        <v>37</v>
      </c>
      <c r="F87" s="1">
        <v>40956</v>
      </c>
      <c r="G87">
        <v>430915820</v>
      </c>
      <c r="H87" s="1">
        <v>40988</v>
      </c>
      <c r="I87">
        <v>6422</v>
      </c>
      <c r="J87">
        <v>81.73</v>
      </c>
      <c r="K87">
        <v>56.67</v>
      </c>
      <c r="L87">
        <v>524870.06000000006</v>
      </c>
      <c r="M87">
        <v>363934.74</v>
      </c>
      <c r="N87">
        <v>160935.32</v>
      </c>
      <c r="O87">
        <v>2012</v>
      </c>
      <c r="P87" t="s">
        <v>64</v>
      </c>
      <c r="Q87" s="2">
        <v>0.30659999999999998</v>
      </c>
      <c r="R87" t="s">
        <v>26</v>
      </c>
      <c r="S87">
        <v>32</v>
      </c>
      <c r="T87" t="s">
        <v>27</v>
      </c>
    </row>
    <row r="88" spans="1:20" x14ac:dyDescent="0.35">
      <c r="A88" t="s">
        <v>40</v>
      </c>
      <c r="B88" t="s">
        <v>41</v>
      </c>
      <c r="C88" t="s">
        <v>72</v>
      </c>
      <c r="D88" t="s">
        <v>23</v>
      </c>
      <c r="E88" t="s">
        <v>32</v>
      </c>
      <c r="F88" s="1">
        <v>40559</v>
      </c>
      <c r="G88">
        <v>180283772</v>
      </c>
      <c r="H88" s="1">
        <v>40564</v>
      </c>
      <c r="I88">
        <v>8829</v>
      </c>
      <c r="J88">
        <v>47.45</v>
      </c>
      <c r="K88">
        <v>31.79</v>
      </c>
      <c r="L88">
        <v>418936.05</v>
      </c>
      <c r="M88">
        <v>280673.90999999997</v>
      </c>
      <c r="N88">
        <v>138262.14000000001</v>
      </c>
      <c r="O88">
        <v>2011</v>
      </c>
      <c r="P88" t="s">
        <v>74</v>
      </c>
      <c r="Q88" s="2">
        <v>0.33</v>
      </c>
      <c r="R88" t="s">
        <v>26</v>
      </c>
      <c r="S88">
        <v>5</v>
      </c>
      <c r="T88" t="s">
        <v>39</v>
      </c>
    </row>
    <row r="89" spans="1:20" x14ac:dyDescent="0.35">
      <c r="A89" t="s">
        <v>40</v>
      </c>
      <c r="B89" t="s">
        <v>87</v>
      </c>
      <c r="C89" t="s">
        <v>22</v>
      </c>
      <c r="D89" t="s">
        <v>23</v>
      </c>
      <c r="E89" t="s">
        <v>51</v>
      </c>
      <c r="F89" s="1">
        <v>41673</v>
      </c>
      <c r="G89">
        <v>494747245</v>
      </c>
      <c r="H89" s="1">
        <v>41718</v>
      </c>
      <c r="I89">
        <v>5559</v>
      </c>
      <c r="J89">
        <v>255.28</v>
      </c>
      <c r="K89">
        <v>159.41999999999999</v>
      </c>
      <c r="L89">
        <v>1419101.52</v>
      </c>
      <c r="M89">
        <v>886215.78</v>
      </c>
      <c r="N89">
        <v>532885.74</v>
      </c>
      <c r="O89">
        <v>2014</v>
      </c>
      <c r="P89" t="s">
        <v>64</v>
      </c>
      <c r="Q89" s="2">
        <v>0.3755</v>
      </c>
      <c r="R89" t="s">
        <v>26</v>
      </c>
      <c r="S89">
        <v>45</v>
      </c>
      <c r="T89" t="s">
        <v>27</v>
      </c>
    </row>
    <row r="90" spans="1:20" x14ac:dyDescent="0.35">
      <c r="A90" t="s">
        <v>94</v>
      </c>
      <c r="B90" t="s">
        <v>132</v>
      </c>
      <c r="C90" t="s">
        <v>42</v>
      </c>
      <c r="D90" t="s">
        <v>31</v>
      </c>
      <c r="E90" t="s">
        <v>51</v>
      </c>
      <c r="F90" s="1">
        <v>41029</v>
      </c>
      <c r="G90">
        <v>513417565</v>
      </c>
      <c r="H90" s="1">
        <v>41047</v>
      </c>
      <c r="I90">
        <v>522</v>
      </c>
      <c r="J90">
        <v>9.33</v>
      </c>
      <c r="K90">
        <v>6.92</v>
      </c>
      <c r="L90">
        <v>4870.26</v>
      </c>
      <c r="M90">
        <v>3612.24</v>
      </c>
      <c r="N90">
        <v>1258.02</v>
      </c>
      <c r="O90">
        <v>2012</v>
      </c>
      <c r="P90" t="s">
        <v>38</v>
      </c>
      <c r="Q90" s="2">
        <v>0.25829999999999997</v>
      </c>
      <c r="R90" t="s">
        <v>44</v>
      </c>
      <c r="S90">
        <v>18</v>
      </c>
      <c r="T90" t="s">
        <v>45</v>
      </c>
    </row>
    <row r="91" spans="1:20" x14ac:dyDescent="0.35">
      <c r="A91" t="s">
        <v>34</v>
      </c>
      <c r="B91" t="s">
        <v>133</v>
      </c>
      <c r="C91" t="s">
        <v>72</v>
      </c>
      <c r="D91" t="s">
        <v>23</v>
      </c>
      <c r="E91" t="s">
        <v>32</v>
      </c>
      <c r="F91" s="1">
        <v>42666</v>
      </c>
      <c r="G91">
        <v>345718562</v>
      </c>
      <c r="H91" s="1">
        <v>42699</v>
      </c>
      <c r="I91">
        <v>4660</v>
      </c>
      <c r="J91">
        <v>47.45</v>
      </c>
      <c r="K91">
        <v>31.79</v>
      </c>
      <c r="L91">
        <v>221117</v>
      </c>
      <c r="M91">
        <v>148141.4</v>
      </c>
      <c r="N91">
        <v>72975.600000000006</v>
      </c>
      <c r="O91">
        <v>2016</v>
      </c>
      <c r="P91" t="s">
        <v>85</v>
      </c>
      <c r="Q91" s="2">
        <v>0.33</v>
      </c>
      <c r="R91" t="s">
        <v>26</v>
      </c>
      <c r="S91">
        <v>33</v>
      </c>
      <c r="T91" t="s">
        <v>27</v>
      </c>
    </row>
    <row r="92" spans="1:20" x14ac:dyDescent="0.35">
      <c r="A92" t="s">
        <v>40</v>
      </c>
      <c r="B92" t="s">
        <v>107</v>
      </c>
      <c r="C92" t="s">
        <v>36</v>
      </c>
      <c r="D92" t="s">
        <v>23</v>
      </c>
      <c r="E92" t="s">
        <v>24</v>
      </c>
      <c r="F92" s="1">
        <v>42710</v>
      </c>
      <c r="G92">
        <v>621386563</v>
      </c>
      <c r="H92" s="1">
        <v>42718</v>
      </c>
      <c r="I92">
        <v>948</v>
      </c>
      <c r="J92">
        <v>651.21</v>
      </c>
      <c r="K92">
        <v>524.96</v>
      </c>
      <c r="L92">
        <v>617347.07999999996</v>
      </c>
      <c r="M92">
        <v>497662.08</v>
      </c>
      <c r="N92">
        <v>119685</v>
      </c>
      <c r="O92">
        <v>2016</v>
      </c>
      <c r="P92" t="s">
        <v>70</v>
      </c>
      <c r="Q92" s="2">
        <v>0.19389999999999999</v>
      </c>
      <c r="R92" t="s">
        <v>26</v>
      </c>
      <c r="S92">
        <v>8</v>
      </c>
      <c r="T92" t="s">
        <v>39</v>
      </c>
    </row>
    <row r="93" spans="1:20" x14ac:dyDescent="0.35">
      <c r="A93" t="s">
        <v>20</v>
      </c>
      <c r="B93" t="s">
        <v>90</v>
      </c>
      <c r="C93" t="s">
        <v>72</v>
      </c>
      <c r="D93" t="s">
        <v>23</v>
      </c>
      <c r="E93" t="s">
        <v>24</v>
      </c>
      <c r="F93" s="1">
        <v>41827</v>
      </c>
      <c r="G93">
        <v>240470397</v>
      </c>
      <c r="H93" s="1">
        <v>41831</v>
      </c>
      <c r="I93">
        <v>9389</v>
      </c>
      <c r="J93">
        <v>47.45</v>
      </c>
      <c r="K93">
        <v>31.79</v>
      </c>
      <c r="L93">
        <v>445508.05</v>
      </c>
      <c r="M93">
        <v>298476.31</v>
      </c>
      <c r="N93">
        <v>147031.74</v>
      </c>
      <c r="O93">
        <v>2014</v>
      </c>
      <c r="P93" t="s">
        <v>43</v>
      </c>
      <c r="Q93" s="2">
        <v>0.33</v>
      </c>
      <c r="R93" t="s">
        <v>26</v>
      </c>
      <c r="S93">
        <v>4</v>
      </c>
      <c r="T93" t="s">
        <v>39</v>
      </c>
    </row>
    <row r="94" spans="1:20" x14ac:dyDescent="0.35">
      <c r="A94" t="s">
        <v>94</v>
      </c>
      <c r="B94" t="s">
        <v>98</v>
      </c>
      <c r="C94" t="s">
        <v>36</v>
      </c>
      <c r="D94" t="s">
        <v>31</v>
      </c>
      <c r="E94" t="s">
        <v>51</v>
      </c>
      <c r="F94" s="1">
        <v>41073</v>
      </c>
      <c r="G94">
        <v>423331391</v>
      </c>
      <c r="H94" s="1">
        <v>41114</v>
      </c>
      <c r="I94">
        <v>2021</v>
      </c>
      <c r="J94">
        <v>651.21</v>
      </c>
      <c r="K94">
        <v>524.96</v>
      </c>
      <c r="L94">
        <v>1316095.4099999999</v>
      </c>
      <c r="M94">
        <v>1060944.1599999999</v>
      </c>
      <c r="N94">
        <v>255151.25</v>
      </c>
      <c r="O94">
        <v>2012</v>
      </c>
      <c r="P94" t="s">
        <v>43</v>
      </c>
      <c r="Q94" s="2">
        <v>0.19389999999999999</v>
      </c>
      <c r="R94" t="s">
        <v>26</v>
      </c>
      <c r="S94">
        <v>41</v>
      </c>
      <c r="T94" t="s">
        <v>27</v>
      </c>
    </row>
    <row r="95" spans="1:20" x14ac:dyDescent="0.35">
      <c r="A95" t="s">
        <v>34</v>
      </c>
      <c r="B95" t="s">
        <v>134</v>
      </c>
      <c r="C95" t="s">
        <v>69</v>
      </c>
      <c r="D95" t="s">
        <v>31</v>
      </c>
      <c r="E95" t="s">
        <v>24</v>
      </c>
      <c r="F95" s="1">
        <v>40508</v>
      </c>
      <c r="G95">
        <v>660643374</v>
      </c>
      <c r="H95" s="1">
        <v>40537</v>
      </c>
      <c r="I95">
        <v>7910</v>
      </c>
      <c r="J95">
        <v>437.2</v>
      </c>
      <c r="K95">
        <v>263.33</v>
      </c>
      <c r="L95">
        <v>3458252</v>
      </c>
      <c r="M95">
        <v>2082940.3</v>
      </c>
      <c r="N95">
        <v>1375311.7</v>
      </c>
      <c r="O95">
        <v>2010</v>
      </c>
      <c r="P95" t="s">
        <v>70</v>
      </c>
      <c r="Q95" s="2">
        <v>0.3977</v>
      </c>
      <c r="R95" t="s">
        <v>26</v>
      </c>
      <c r="S95">
        <v>29</v>
      </c>
      <c r="T95" t="s">
        <v>27</v>
      </c>
    </row>
    <row r="96" spans="1:20" x14ac:dyDescent="0.35">
      <c r="A96" t="s">
        <v>28</v>
      </c>
      <c r="B96" t="s">
        <v>135</v>
      </c>
      <c r="C96" t="s">
        <v>72</v>
      </c>
      <c r="D96" t="s">
        <v>23</v>
      </c>
      <c r="E96" t="s">
        <v>32</v>
      </c>
      <c r="F96" s="1">
        <v>40582</v>
      </c>
      <c r="G96">
        <v>963392674</v>
      </c>
      <c r="H96" s="1">
        <v>40623</v>
      </c>
      <c r="I96">
        <v>8156</v>
      </c>
      <c r="J96">
        <v>47.45</v>
      </c>
      <c r="K96">
        <v>31.79</v>
      </c>
      <c r="L96">
        <v>387002.2</v>
      </c>
      <c r="M96">
        <v>259279.24</v>
      </c>
      <c r="N96">
        <v>127722.96</v>
      </c>
      <c r="O96">
        <v>2011</v>
      </c>
      <c r="P96" t="s">
        <v>64</v>
      </c>
      <c r="Q96" s="2">
        <v>0.33</v>
      </c>
      <c r="R96" t="s">
        <v>26</v>
      </c>
      <c r="S96">
        <v>41</v>
      </c>
      <c r="T96" t="s">
        <v>27</v>
      </c>
    </row>
    <row r="97" spans="1:20" x14ac:dyDescent="0.35">
      <c r="A97" t="s">
        <v>40</v>
      </c>
      <c r="B97" t="s">
        <v>86</v>
      </c>
      <c r="C97" t="s">
        <v>62</v>
      </c>
      <c r="D97" t="s">
        <v>31</v>
      </c>
      <c r="E97" t="s">
        <v>51</v>
      </c>
      <c r="F97" s="1">
        <v>40750</v>
      </c>
      <c r="G97">
        <v>512878119</v>
      </c>
      <c r="H97" s="1">
        <v>40789</v>
      </c>
      <c r="I97">
        <v>888</v>
      </c>
      <c r="J97">
        <v>109.28</v>
      </c>
      <c r="K97">
        <v>35.840000000000003</v>
      </c>
      <c r="L97">
        <v>97040.639999999999</v>
      </c>
      <c r="M97">
        <v>31825.919999999998</v>
      </c>
      <c r="N97">
        <v>65214.720000000001</v>
      </c>
      <c r="O97">
        <v>2011</v>
      </c>
      <c r="P97" t="s">
        <v>33</v>
      </c>
      <c r="Q97" s="2">
        <v>0.67200000000000004</v>
      </c>
      <c r="R97" t="s">
        <v>26</v>
      </c>
      <c r="S97">
        <v>39</v>
      </c>
      <c r="T97" t="s">
        <v>27</v>
      </c>
    </row>
    <row r="98" spans="1:20" x14ac:dyDescent="0.35">
      <c r="A98" t="s">
        <v>59</v>
      </c>
      <c r="B98" t="s">
        <v>136</v>
      </c>
      <c r="C98" t="s">
        <v>42</v>
      </c>
      <c r="D98" t="s">
        <v>23</v>
      </c>
      <c r="E98" t="s">
        <v>37</v>
      </c>
      <c r="F98" s="1">
        <v>40858</v>
      </c>
      <c r="G98">
        <v>810711038</v>
      </c>
      <c r="H98" s="1">
        <v>40905</v>
      </c>
      <c r="I98">
        <v>6267</v>
      </c>
      <c r="J98">
        <v>9.33</v>
      </c>
      <c r="K98">
        <v>6.92</v>
      </c>
      <c r="L98">
        <v>58471.11</v>
      </c>
      <c r="M98">
        <v>43367.64</v>
      </c>
      <c r="N98">
        <v>15103.47</v>
      </c>
      <c r="O98">
        <v>2011</v>
      </c>
      <c r="P98" t="s">
        <v>70</v>
      </c>
      <c r="Q98" s="2">
        <v>0.25829999999999997</v>
      </c>
      <c r="R98" t="s">
        <v>44</v>
      </c>
      <c r="S98">
        <v>47</v>
      </c>
      <c r="T98" t="s">
        <v>27</v>
      </c>
    </row>
    <row r="99" spans="1:20" x14ac:dyDescent="0.35">
      <c r="A99" t="s">
        <v>40</v>
      </c>
      <c r="B99" t="s">
        <v>107</v>
      </c>
      <c r="C99" t="s">
        <v>54</v>
      </c>
      <c r="D99" t="s">
        <v>23</v>
      </c>
      <c r="E99" t="s">
        <v>32</v>
      </c>
      <c r="F99" s="1">
        <v>42522</v>
      </c>
      <c r="G99">
        <v>728815257</v>
      </c>
      <c r="H99" s="1">
        <v>42550</v>
      </c>
      <c r="I99">
        <v>1485</v>
      </c>
      <c r="J99">
        <v>154.06</v>
      </c>
      <c r="K99">
        <v>90.93</v>
      </c>
      <c r="L99">
        <v>228779.1</v>
      </c>
      <c r="M99">
        <v>135031.04999999999</v>
      </c>
      <c r="N99">
        <v>93748.05</v>
      </c>
      <c r="O99">
        <v>2016</v>
      </c>
      <c r="P99" t="s">
        <v>25</v>
      </c>
      <c r="Q99" s="2">
        <v>0.4098</v>
      </c>
      <c r="R99" t="s">
        <v>26</v>
      </c>
      <c r="S99">
        <v>28</v>
      </c>
      <c r="T99" t="s">
        <v>27</v>
      </c>
    </row>
    <row r="100" spans="1:20" x14ac:dyDescent="0.35">
      <c r="A100" t="s">
        <v>121</v>
      </c>
      <c r="B100" t="s">
        <v>122</v>
      </c>
      <c r="C100" t="s">
        <v>56</v>
      </c>
      <c r="D100" t="s">
        <v>23</v>
      </c>
      <c r="E100" t="s">
        <v>51</v>
      </c>
      <c r="F100" s="1">
        <v>42215</v>
      </c>
      <c r="G100">
        <v>559427106</v>
      </c>
      <c r="H100" s="1">
        <v>42224</v>
      </c>
      <c r="I100">
        <v>5767</v>
      </c>
      <c r="J100">
        <v>81.73</v>
      </c>
      <c r="K100">
        <v>56.67</v>
      </c>
      <c r="L100">
        <v>471336.91</v>
      </c>
      <c r="M100">
        <v>326815.89</v>
      </c>
      <c r="N100">
        <v>144521.01999999999</v>
      </c>
      <c r="O100">
        <v>2015</v>
      </c>
      <c r="P100" t="s">
        <v>57</v>
      </c>
      <c r="Q100" s="2">
        <v>0.30659999999999998</v>
      </c>
      <c r="R100" t="s">
        <v>26</v>
      </c>
      <c r="S100">
        <v>9</v>
      </c>
      <c r="T100" t="s">
        <v>39</v>
      </c>
    </row>
    <row r="101" spans="1:20" x14ac:dyDescent="0.35">
      <c r="A101" t="s">
        <v>40</v>
      </c>
      <c r="B101" t="s">
        <v>137</v>
      </c>
      <c r="C101" t="s">
        <v>50</v>
      </c>
      <c r="D101" t="s">
        <v>23</v>
      </c>
      <c r="E101" t="s">
        <v>37</v>
      </c>
      <c r="F101" s="1">
        <v>40949</v>
      </c>
      <c r="G101">
        <v>665095412</v>
      </c>
      <c r="H101" s="1">
        <v>40954</v>
      </c>
      <c r="I101">
        <v>5367</v>
      </c>
      <c r="J101">
        <v>668.27</v>
      </c>
      <c r="K101">
        <v>502.54</v>
      </c>
      <c r="L101">
        <v>3586605.09</v>
      </c>
      <c r="M101">
        <v>2697132.18</v>
      </c>
      <c r="N101">
        <v>889472.91</v>
      </c>
      <c r="O101">
        <v>2012</v>
      </c>
      <c r="P101" t="s">
        <v>47</v>
      </c>
      <c r="Q101" s="2">
        <v>0.248</v>
      </c>
      <c r="R101" t="s">
        <v>26</v>
      </c>
      <c r="S101">
        <v>5</v>
      </c>
      <c r="T101"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Sheet3</vt:lpstr>
      <vt:lpstr>KPI</vt:lpstr>
      <vt:lpstr>Dashboard</vt:lpstr>
      <vt:lpstr>Amazon 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sayyed sami</dc:creator>
  <cp:lastModifiedBy>sayyed sami</cp:lastModifiedBy>
  <dcterms:created xsi:type="dcterms:W3CDTF">2026-02-17T18:10:46Z</dcterms:created>
  <dcterms:modified xsi:type="dcterms:W3CDTF">2026-04-07T22:53:34Z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ca1570fe-7d2a-431b-8402-5567c0c6b66e</vt:lpwstr>
  </property>
</Properties>
</file>